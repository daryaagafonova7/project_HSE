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_pollution" sheetId="1" r:id="rId5"/>
    <sheet state="visible" name="air_anti_leaders_from_measureme" sheetId="2" r:id="rId6"/>
    <sheet state="hidden" name="metadata_air_pollution" sheetId="3" r:id="rId7"/>
    <sheet state="visible" name="air_pollution_index" sheetId="4" r:id="rId8"/>
    <sheet state="visible" name="air_index_anti_leaders" sheetId="5" r:id="rId9"/>
    <sheet state="hidden" name="metadata_air_pollution_index " sheetId="6" r:id="rId10"/>
    <sheet state="visible" name="water_pollution" sheetId="7" r:id="rId11"/>
    <sheet state="visible" name="water_anti_leaders" sheetId="8" r:id="rId12"/>
    <sheet state="visible" name="water_impurities" sheetId="9" r:id="rId13"/>
    <sheet state="visible" name="soil_pollution" sheetId="10" r:id="rId14"/>
    <sheet state="visible" name="soil_anti_leaders" sheetId="11" r:id="rId15"/>
    <sheet state="hidden" name="metadata_water_pollution" sheetId="12" r:id="rId16"/>
    <sheet state="hidden" name="metadata_soil_pollution" sheetId="13" r:id="rId17"/>
    <sheet state="visible" name="cancer_per_100" sheetId="14" r:id="rId18"/>
    <sheet state="visible" name="cancer_rural_urban" sheetId="15" r:id="rId19"/>
    <sheet state="hidden" name="metadata_cancer_per 100" sheetId="16" r:id="rId20"/>
    <sheet state="visible" name="types_cancer" sheetId="17" r:id="rId21"/>
    <sheet state="visible" name="localization_cancer" sheetId="18" r:id="rId22"/>
    <sheet state="hidden" name="metadata_types_cancer" sheetId="19" r:id="rId23"/>
    <sheet state="visible" name="registered_cancer" sheetId="20" r:id="rId24"/>
    <sheet state="visible" name="registered_anti_leaders" sheetId="21" r:id="rId25"/>
    <sheet state="hidden" name="metadata_registered_cancer " sheetId="22" r:id="rId26"/>
    <sheet state="visible" name="death_rate" sheetId="23" r:id="rId27"/>
    <sheet state="visible" name="death_anti_leaders" sheetId="24" r:id="rId28"/>
    <sheet state="hidden" name="metadata_death_rate " sheetId="25" r:id="rId29"/>
    <sheet state="visible" name="medical_care_availability" sheetId="26" r:id="rId30"/>
    <sheet state="visible" name="medical_care_statistics" sheetId="27" r:id="rId31"/>
    <sheet state="hidden" name="metadata_medical_care_availabil" sheetId="28" r:id="rId32"/>
    <sheet state="hidden" name="city_to_region" sheetId="29" r:id="rId33"/>
  </sheets>
  <definedNames/>
  <calcPr/>
  <pivotCaches>
    <pivotCache cacheId="0" r:id="rId34"/>
    <pivotCache cacheId="1" r:id="rId35"/>
    <pivotCache cacheId="2" r:id="rId36"/>
    <pivotCache cacheId="3" r:id="rId37"/>
    <pivotCache cacheId="4" r:id="rId38"/>
  </pivotCaches>
</workbook>
</file>

<file path=xl/sharedStrings.xml><?xml version="1.0" encoding="utf-8"?>
<sst xmlns="http://schemas.openxmlformats.org/spreadsheetml/2006/main" count="5811" uniqueCount="3748">
  <si>
    <t>level_of_pollution</t>
  </si>
  <si>
    <t>region</t>
  </si>
  <si>
    <t>city</t>
  </si>
  <si>
    <t>impurity</t>
  </si>
  <si>
    <t>date</t>
  </si>
  <si>
    <t>time</t>
  </si>
  <si>
    <t>address</t>
  </si>
  <si>
    <t>concentration_(mg/m3)</t>
  </si>
  <si>
    <t>exceedance_factor</t>
  </si>
  <si>
    <t>wind_direction</t>
  </si>
  <si>
    <t>wind_speed</t>
  </si>
  <si>
    <t>temperature, C</t>
  </si>
  <si>
    <t>atmos_pressure_(mmHg)</t>
  </si>
  <si>
    <t>year</t>
  </si>
  <si>
    <t xml:space="preserve"> </t>
  </si>
  <si>
    <t>Случаи высокого загрязнения (ВЗ)</t>
  </si>
  <si>
    <t>г. Астана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</si>
  <si>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</si>
  <si>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</si>
  <si>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ПНЗ №8 (ул. Бабатайулы, д. 24 Коктал -1, средняя школа № 40 им.
</t>
    </r>
    <r>
      <rPr>
        <rFont val="Arial"/>
        <color rgb="FF000000"/>
        <sz val="10.0"/>
      </rPr>
      <t>А.Маргулана)</t>
    </r>
  </si>
  <si>
    <r>
      <rPr>
        <rFont val="Arial"/>
        <color theme="1"/>
        <sz val="10.0"/>
      </rPr>
      <t>0,0873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</si>
  <si>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</si>
  <si>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</si>
  <si>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731,4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</si>
  <si>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</si>
  <si>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</si>
  <si>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ПНЗ №8 (ул. Бабатайулы, д. 24 Коктал -1, средняя школа № 40 им.
</t>
    </r>
    <r>
      <rPr>
        <rFont val="Arial"/>
        <color rgb="FF000000"/>
        <sz val="10.0"/>
      </rPr>
      <t>А.Маргулана)</t>
    </r>
  </si>
  <si>
    <r>
      <rPr>
        <rFont val="Arial"/>
        <color theme="1"/>
        <sz val="10.0"/>
      </rPr>
      <t>0,0901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</si>
  <si>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</si>
  <si>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5,0</t>
    </r>
  </si>
  <si>
    <r>
      <rPr>
        <rFont val="Arial"/>
        <color theme="1"/>
        <sz val="10.0"/>
      </rPr>
      <t>731,3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</si>
  <si>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</si>
  <si>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</si>
  <si>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№10 Ул. К. Мунайтпасова, 13, Евразийский национальный университет им. Л.Н. Гумилева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</si>
  <si>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</si>
  <si>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7,0</t>
    </r>
  </si>
  <si>
    <r>
      <rPr>
        <rFont val="Arial"/>
        <color theme="1"/>
        <sz val="10.0"/>
      </rPr>
      <t>738,9</t>
    </r>
  </si>
  <si>
    <t>г. Атырау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</si>
  <si>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</si>
  <si>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</si>
  <si>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</si>
  <si>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</si>
  <si>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</si>
  <si>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765,4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</si>
  <si>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</si>
  <si>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</si>
  <si>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</si>
  <si>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</si>
  <si>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3,7</t>
    </r>
  </si>
  <si>
    <r>
      <rPr>
        <rFont val="Arial"/>
        <color theme="1"/>
        <sz val="10.0"/>
      </rPr>
      <t>761,1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</si>
  <si>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</si>
  <si>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</si>
  <si>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</si>
  <si>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</si>
  <si>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3,6</t>
    </r>
  </si>
  <si>
    <r>
      <rPr>
        <rFont val="Arial"/>
        <color theme="1"/>
        <sz val="10.0"/>
      </rPr>
      <t>761,2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</si>
  <si>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</si>
  <si>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</si>
  <si>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</si>
  <si>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</si>
  <si>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4,1</t>
    </r>
  </si>
  <si>
    <r>
      <rPr>
        <rFont val="Arial"/>
        <color theme="1"/>
        <sz val="10.0"/>
      </rPr>
      <t>761,4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</si>
  <si>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</si>
  <si>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</si>
  <si>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</si>
  <si>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</si>
  <si>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4,3</t>
    </r>
  </si>
  <si>
    <r>
      <rPr>
        <rFont val="Arial"/>
        <color theme="1"/>
        <sz val="10.0"/>
      </rPr>
      <t>761,4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</si>
  <si>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</si>
  <si>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</si>
  <si>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t>№ 109 Восток (ул. Махамбета, парк Курмангазы)</t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</si>
  <si>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</si>
  <si>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5,9</t>
    </r>
  </si>
  <si>
    <r>
      <rPr>
        <rFont val="Arial"/>
        <color theme="1"/>
        <sz val="10.0"/>
      </rPr>
      <t>762,1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</si>
  <si>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</si>
  <si>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</si>
  <si>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</si>
  <si>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5,7</t>
    </r>
  </si>
  <si>
    <r>
      <rPr>
        <rFont val="Arial"/>
        <color theme="1"/>
        <sz val="10.0"/>
      </rPr>
      <t>762,0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</si>
  <si>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</si>
  <si>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</si>
  <si>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</si>
  <si>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3,9</t>
    </r>
  </si>
  <si>
    <r>
      <rPr>
        <rFont val="Arial"/>
        <color theme="1"/>
        <sz val="10.0"/>
      </rPr>
      <t>761,4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</si>
  <si>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</si>
  <si>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</si>
  <si>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</si>
  <si>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</si>
  <si>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761,4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</si>
  <si>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</si>
  <si>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</si>
  <si>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</si>
  <si>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4,3</t>
    </r>
  </si>
  <si>
    <r>
      <rPr>
        <rFont val="Arial"/>
        <color theme="1"/>
        <sz val="10.0"/>
      </rPr>
      <t>761,5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</si>
  <si>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</si>
  <si>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</si>
  <si>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</si>
  <si>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4,8</t>
    </r>
  </si>
  <si>
    <r>
      <rPr>
        <rFont val="Arial"/>
        <color theme="1"/>
        <sz val="10.0"/>
      </rPr>
      <t>761,5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</si>
  <si>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</si>
  <si>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</si>
  <si>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</si>
  <si>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1,3</t>
    </r>
  </si>
  <si>
    <r>
      <rPr>
        <rFont val="Arial"/>
        <color theme="1"/>
        <sz val="10.0"/>
      </rPr>
      <t>6,4</t>
    </r>
  </si>
  <si>
    <r>
      <rPr>
        <rFont val="Arial"/>
        <color theme="1"/>
        <sz val="10.0"/>
      </rPr>
      <t>762,4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</si>
  <si>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</si>
  <si>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</si>
  <si>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</si>
  <si>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</si>
  <si>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</si>
  <si>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761,6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</si>
  <si>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</si>
  <si>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</si>
  <si>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</si>
  <si>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</si>
  <si>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3,9</t>
    </r>
  </si>
  <si>
    <r>
      <rPr>
        <rFont val="Arial"/>
        <color theme="1"/>
        <sz val="10.0"/>
      </rPr>
      <t>761,6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</si>
  <si>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</si>
  <si>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</si>
  <si>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</si>
  <si>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</si>
  <si>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3,9</t>
    </r>
  </si>
  <si>
    <r>
      <rPr>
        <rFont val="Arial"/>
        <color theme="1"/>
        <sz val="10.0"/>
      </rPr>
      <t>761,7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</si>
  <si>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</si>
  <si>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</si>
  <si>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</si>
  <si>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</si>
  <si>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3,9</t>
    </r>
  </si>
  <si>
    <r>
      <rPr>
        <rFont val="Arial"/>
        <color theme="1"/>
        <sz val="10.0"/>
      </rPr>
      <t>761,8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</si>
  <si>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</si>
  <si>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</si>
  <si>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</si>
  <si>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</si>
  <si>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3,6</t>
    </r>
  </si>
  <si>
    <r>
      <rPr>
        <rFont val="Arial"/>
        <color theme="1"/>
        <sz val="10.0"/>
      </rPr>
      <t>760,0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</si>
  <si>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</si>
  <si>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</si>
  <si>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</si>
  <si>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</si>
  <si>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3,7</t>
    </r>
  </si>
  <si>
    <r>
      <rPr>
        <rFont val="Arial"/>
        <color theme="1"/>
        <sz val="10.0"/>
      </rPr>
      <t>760,1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</si>
  <si>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</si>
  <si>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</si>
  <si>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</si>
  <si>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</si>
  <si>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</si>
  <si>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760,0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</si>
  <si>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</si>
  <si>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</si>
  <si>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</si>
  <si>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</si>
  <si>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6,2</t>
    </r>
  </si>
  <si>
    <r>
      <rPr>
        <rFont val="Arial"/>
        <color theme="1"/>
        <sz val="10.0"/>
      </rPr>
      <t>763,0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</si>
  <si>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</si>
  <si>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</si>
  <si>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</si>
  <si>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</si>
  <si>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3,8</t>
    </r>
  </si>
  <si>
    <r>
      <rPr>
        <rFont val="Arial"/>
        <color theme="1"/>
        <sz val="10.0"/>
      </rPr>
      <t>762,1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</si>
  <si>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</si>
  <si>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</si>
  <si>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</si>
  <si>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</si>
  <si>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3,6</t>
    </r>
  </si>
  <si>
    <r>
      <rPr>
        <rFont val="Arial"/>
        <color theme="1"/>
        <sz val="10.0"/>
      </rPr>
      <t>762,2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</si>
  <si>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</si>
  <si>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</si>
  <si>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</si>
  <si>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</si>
  <si>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</si>
  <si>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762,3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</si>
  <si>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</si>
  <si>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</si>
  <si>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</si>
  <si>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</si>
  <si>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4,2</t>
    </r>
  </si>
  <si>
    <r>
      <rPr>
        <rFont val="Arial"/>
        <color theme="1"/>
        <sz val="10.0"/>
      </rPr>
      <t>762,4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</si>
  <si>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</si>
  <si>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</si>
  <si>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</si>
  <si>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</si>
  <si>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5,4</t>
    </r>
  </si>
  <si>
    <r>
      <rPr>
        <rFont val="Arial"/>
        <color theme="1"/>
        <sz val="10.0"/>
      </rPr>
      <t>760,9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</si>
  <si>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</si>
  <si>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</si>
  <si>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</si>
  <si>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</si>
  <si>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</si>
  <si>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760,2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</si>
  <si>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</si>
  <si>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</si>
  <si>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</si>
  <si>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</si>
  <si>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</si>
  <si>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760,4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</si>
  <si>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</si>
  <si>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</si>
  <si>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</si>
  <si>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</si>
  <si>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4,1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</si>
  <si>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</si>
  <si>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</si>
  <si>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</si>
  <si>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</si>
  <si>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</si>
  <si>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4,9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</si>
  <si>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</si>
  <si>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</si>
  <si>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</si>
  <si>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</si>
  <si>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</si>
  <si>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5,5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</si>
  <si>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</si>
  <si>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</si>
  <si>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</si>
  <si>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</si>
  <si>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</si>
  <si>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</si>
  <si>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761,6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</si>
  <si>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</si>
  <si>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</si>
  <si>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</si>
  <si>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</si>
  <si>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</si>
  <si>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760,7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</si>
  <si>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</si>
  <si>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</si>
  <si>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</si>
  <si>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</si>
  <si>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</si>
  <si>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760,8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</si>
  <si>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</si>
  <si>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</si>
  <si>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</si>
  <si>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</si>
  <si>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</si>
  <si>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760,6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</si>
  <si>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</si>
  <si>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</si>
  <si>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</si>
  <si>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</si>
  <si>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</si>
  <si>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760,7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</si>
  <si>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</si>
  <si>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15:40</t>
    </r>
  </si>
  <si>
    <t>№ 108 ТКА (возле Телекоммуникационной башни)</t>
  </si>
  <si>
    <r>
      <rPr>
        <rFont val="Arial"/>
        <color theme="1"/>
        <sz val="10.0"/>
      </rPr>
      <t>5,8</t>
    </r>
  </si>
  <si>
    <r>
      <rPr>
        <rFont val="Arial"/>
        <color theme="1"/>
        <sz val="10.0"/>
      </rPr>
      <t>8,8</t>
    </r>
  </si>
  <si>
    <r>
      <rPr>
        <rFont val="Arial"/>
        <color theme="1"/>
        <sz val="10.0"/>
      </rPr>
      <t>744,9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</si>
  <si>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</si>
  <si>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16:00</t>
    </r>
  </si>
  <si>
    <r>
      <rPr>
        <rFont val="Arial"/>
        <color theme="1"/>
        <sz val="10.0"/>
      </rPr>
      <t>5,5</t>
    </r>
  </si>
  <si>
    <r>
      <rPr>
        <rFont val="Arial"/>
        <color theme="1"/>
        <sz val="10.0"/>
      </rPr>
      <t>8,7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</si>
  <si>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</si>
  <si>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</si>
  <si>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16:20</t>
    </r>
  </si>
  <si>
    <r>
      <rPr>
        <rFont val="Arial"/>
        <color theme="1"/>
        <sz val="10.0"/>
      </rPr>
      <t>5,9</t>
    </r>
  </si>
  <si>
    <r>
      <rPr>
        <rFont val="Arial"/>
        <color theme="1"/>
        <sz val="10.0"/>
      </rPr>
      <t>8,5</t>
    </r>
  </si>
  <si>
    <r>
      <rPr>
        <rFont val="Arial"/>
        <color theme="1"/>
        <sz val="10.0"/>
      </rPr>
      <t>744,7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</si>
  <si>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</si>
  <si>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19:20</t>
    </r>
  </si>
  <si>
    <r>
      <rPr>
        <rFont val="Arial"/>
        <color theme="1"/>
        <sz val="10.0"/>
      </rPr>
      <t>7,8</t>
    </r>
  </si>
  <si>
    <r>
      <rPr>
        <rFont val="Arial"/>
        <color theme="1"/>
        <sz val="10.0"/>
      </rPr>
      <t>5,7</t>
    </r>
  </si>
  <si>
    <r>
      <rPr>
        <rFont val="Arial"/>
        <color theme="1"/>
        <sz val="10.0"/>
      </rPr>
      <t>745,5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</si>
  <si>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</si>
  <si>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19:40</t>
    </r>
  </si>
  <si>
    <r>
      <rPr>
        <rFont val="Arial"/>
        <color theme="1"/>
        <sz val="10.0"/>
      </rPr>
      <t>7,7</t>
    </r>
  </si>
  <si>
    <r>
      <rPr>
        <rFont val="Arial"/>
        <color theme="1"/>
        <sz val="10.0"/>
      </rPr>
      <t>5,6</t>
    </r>
  </si>
  <si>
    <r>
      <rPr>
        <rFont val="Arial"/>
        <color theme="1"/>
        <sz val="10.0"/>
      </rPr>
      <t>745,7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</si>
  <si>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</si>
  <si>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20:00</t>
    </r>
  </si>
  <si>
    <r>
      <rPr>
        <rFont val="Arial"/>
        <color theme="1"/>
        <sz val="10.0"/>
      </rPr>
      <t>9,1</t>
    </r>
  </si>
  <si>
    <r>
      <rPr>
        <rFont val="Arial"/>
        <color theme="1"/>
        <sz val="10.0"/>
      </rPr>
      <t>5,5</t>
    </r>
  </si>
  <si>
    <r>
      <rPr>
        <rFont val="Arial"/>
        <color theme="1"/>
        <sz val="10.0"/>
      </rPr>
      <t>745,8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</si>
  <si>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</si>
  <si>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</si>
  <si>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8,3</t>
    </r>
  </si>
  <si>
    <r>
      <rPr>
        <rFont val="Arial"/>
        <color theme="1"/>
        <sz val="10.0"/>
      </rPr>
      <t>5,4</t>
    </r>
  </si>
  <si>
    <r>
      <rPr>
        <rFont val="Arial"/>
        <color theme="1"/>
        <sz val="10.0"/>
      </rPr>
      <t>746,0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</si>
  <si>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</si>
  <si>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20:40</t>
    </r>
  </si>
  <si>
    <r>
      <rPr>
        <rFont val="Arial"/>
        <color theme="1"/>
        <sz val="10.0"/>
      </rPr>
      <t>8,6</t>
    </r>
  </si>
  <si>
    <r>
      <rPr>
        <rFont val="Arial"/>
        <color theme="1"/>
        <sz val="10.0"/>
      </rPr>
      <t>5,3</t>
    </r>
  </si>
  <si>
    <r>
      <rPr>
        <rFont val="Arial"/>
        <color theme="1"/>
        <sz val="10.0"/>
      </rPr>
      <t>746,3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</si>
  <si>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</si>
  <si>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</si>
  <si>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</si>
  <si>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</si>
  <si>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11,1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</si>
  <si>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</si>
  <si>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</si>
  <si>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</si>
  <si>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</si>
  <si>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</si>
  <si>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10,9</t>
    </r>
  </si>
  <si>
    <r>
      <rPr>
        <rFont val="Arial"/>
        <color theme="1"/>
        <sz val="10.0"/>
      </rPr>
      <t>760,5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</si>
  <si>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</si>
  <si>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</si>
  <si>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t>№ 111 Жилгородок (ул. Заполярная, дом Нефтяников)</t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</si>
  <si>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</si>
  <si>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10,2</t>
    </r>
  </si>
  <si>
    <r>
      <rPr>
        <rFont val="Arial"/>
        <color theme="1"/>
        <sz val="10.0"/>
      </rPr>
      <t>760,6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</si>
  <si>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</si>
  <si>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</si>
  <si>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</si>
  <si>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10,0</t>
    </r>
  </si>
  <si>
    <r>
      <rPr>
        <rFont val="Arial"/>
        <color theme="1"/>
        <sz val="10.0"/>
      </rPr>
      <t>759,3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</si>
  <si>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</si>
  <si>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</si>
  <si>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</si>
  <si>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11,4</t>
    </r>
  </si>
  <si>
    <r>
      <rPr>
        <rFont val="Arial"/>
        <color theme="1"/>
        <sz val="10.0"/>
      </rPr>
      <t>759,4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</si>
  <si>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</si>
  <si>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</si>
  <si>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</si>
  <si>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</si>
  <si>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14,7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</si>
  <si>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</si>
  <si>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</si>
  <si>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</si>
  <si>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2,8</t>
    </r>
  </si>
  <si>
    <r>
      <rPr>
        <rFont val="Arial"/>
        <color theme="1"/>
        <sz val="10.0"/>
      </rPr>
      <t>19,0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</si>
  <si>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</si>
  <si>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20:40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</si>
  <si>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</si>
  <si>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</si>
  <si>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17,9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</si>
  <si>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</si>
  <si>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</si>
  <si>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</si>
  <si>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</si>
  <si>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17,4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</si>
  <si>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</si>
  <si>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</si>
  <si>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</si>
  <si>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3,5</t>
    </r>
  </si>
  <si>
    <r>
      <rPr>
        <rFont val="Arial"/>
        <color theme="1"/>
        <sz val="10.0"/>
      </rPr>
      <t>13,4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</si>
  <si>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</si>
  <si>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</si>
  <si>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</si>
  <si>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3,4</t>
    </r>
  </si>
  <si>
    <r>
      <rPr>
        <rFont val="Arial"/>
        <color theme="1"/>
        <sz val="10.0"/>
      </rPr>
      <t>13,4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</si>
  <si>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</si>
  <si>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</si>
  <si>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</si>
  <si>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</si>
  <si>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</si>
  <si>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</si>
  <si>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</si>
  <si>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</si>
  <si>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</si>
  <si>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</si>
  <si>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</si>
  <si>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</si>
  <si>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</si>
  <si>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</si>
  <si>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</si>
  <si>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</si>
  <si>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</si>
  <si>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</si>
  <si>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4,8</t>
    </r>
  </si>
  <si>
    <r>
      <rPr>
        <rFont val="Arial"/>
        <color theme="1"/>
        <sz val="10.0"/>
      </rPr>
      <t>21,1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</si>
  <si>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</si>
  <si>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</si>
  <si>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</si>
  <si>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</si>
  <si>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20,1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</si>
  <si>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</si>
  <si>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</si>
  <si>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109 Восток  (ул. Махамбета, парк Курмангазы)</t>
    </r>
  </si>
  <si>
    <r>
      <rPr>
        <rFont val="Arial"/>
        <color theme="1"/>
        <sz val="10.0"/>
      </rPr>
      <t>7,2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</si>
  <si>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</si>
  <si>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</si>
  <si>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109 Восток  (ул. Махамбета, парк Курмангазы)</t>
    </r>
  </si>
  <si>
    <r>
      <rPr>
        <rFont val="Arial"/>
        <color theme="1"/>
        <sz val="10.0"/>
      </rPr>
      <t>7,0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</si>
  <si>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</si>
  <si>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</si>
  <si>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</si>
  <si>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0,0975</t>
    </r>
  </si>
  <si>
    <r>
      <rPr>
        <rFont val="Arial"/>
        <color theme="1"/>
        <sz val="10.0"/>
      </rPr>
      <t>2,8</t>
    </r>
  </si>
  <si>
    <r>
      <rPr>
        <rFont val="Arial"/>
        <color theme="1"/>
        <sz val="10.0"/>
      </rPr>
      <t>17,0</t>
    </r>
  </si>
  <si>
    <r>
      <rPr>
        <rFont val="Arial"/>
        <color theme="1"/>
        <sz val="10.0"/>
      </rPr>
      <t>764,1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</si>
  <si>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</si>
  <si>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</si>
  <si>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</si>
  <si>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0,2628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</si>
  <si>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</si>
  <si>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16,9</t>
    </r>
  </si>
  <si>
    <r>
      <rPr>
        <rFont val="Arial"/>
        <color theme="1"/>
        <sz val="10.0"/>
      </rPr>
      <t>764,1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</si>
  <si>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</si>
  <si>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</si>
  <si>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</si>
  <si>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0,1256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</si>
  <si>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</si>
  <si>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17,0</t>
    </r>
  </si>
  <si>
    <r>
      <rPr>
        <rFont val="Arial"/>
        <color theme="1"/>
        <sz val="10.0"/>
      </rPr>
      <t>764,0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</si>
  <si>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</si>
  <si>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</si>
  <si>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</si>
  <si>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0,1686</t>
    </r>
  </si>
  <si>
    <r>
      <rPr>
        <rFont val="Arial"/>
        <color theme="1"/>
        <sz val="10.0"/>
      </rPr>
      <t>2,9</t>
    </r>
  </si>
  <si>
    <r>
      <rPr>
        <rFont val="Arial"/>
        <color theme="1"/>
        <sz val="10.0"/>
      </rPr>
      <t>17,3</t>
    </r>
  </si>
  <si>
    <r>
      <rPr>
        <rFont val="Arial"/>
        <color theme="1"/>
        <sz val="10.0"/>
      </rPr>
      <t>764,1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</si>
  <si>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</si>
  <si>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</si>
  <si>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</si>
  <si>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0,1802</t>
    </r>
  </si>
  <si>
    <r>
      <rPr>
        <rFont val="Arial"/>
        <color theme="1"/>
        <sz val="10.0"/>
      </rPr>
      <t>3,3</t>
    </r>
  </si>
  <si>
    <r>
      <rPr>
        <rFont val="Arial"/>
        <color theme="1"/>
        <sz val="10.0"/>
      </rPr>
      <t>17,9</t>
    </r>
  </si>
  <si>
    <r>
      <rPr>
        <rFont val="Arial"/>
        <color theme="1"/>
        <sz val="10.0"/>
      </rPr>
      <t>764,1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</si>
  <si>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</si>
  <si>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</si>
  <si>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</si>
  <si>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0,1347</t>
    </r>
  </si>
  <si>
    <r>
      <rPr>
        <rFont val="Arial"/>
        <color theme="1"/>
        <sz val="10.0"/>
      </rPr>
      <t>3,3</t>
    </r>
  </si>
  <si>
    <r>
      <rPr>
        <rFont val="Arial"/>
        <color theme="1"/>
        <sz val="10.0"/>
      </rPr>
      <t>18,7</t>
    </r>
  </si>
  <si>
    <r>
      <rPr>
        <rFont val="Arial"/>
        <color theme="1"/>
        <sz val="10.0"/>
      </rPr>
      <t>764,2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</si>
  <si>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</si>
  <si>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</si>
  <si>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</si>
  <si>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0,1056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</si>
  <si>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</si>
  <si>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18,7</t>
    </r>
  </si>
  <si>
    <r>
      <rPr>
        <rFont val="Arial"/>
        <color theme="1"/>
        <sz val="10.0"/>
      </rPr>
      <t>764,2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</si>
  <si>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</si>
  <si>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</si>
  <si>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</si>
  <si>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0,1891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</si>
  <si>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</si>
  <si>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18,4</t>
    </r>
  </si>
  <si>
    <r>
      <rPr>
        <rFont val="Arial"/>
        <color theme="1"/>
        <sz val="10.0"/>
      </rPr>
      <t>764,2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</si>
  <si>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</si>
  <si>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</si>
  <si>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</si>
  <si>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0,1363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</si>
  <si>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</si>
  <si>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18,1</t>
    </r>
  </si>
  <si>
    <r>
      <rPr>
        <rFont val="Arial"/>
        <color theme="1"/>
        <sz val="10.0"/>
      </rPr>
      <t>764,3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</si>
  <si>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</si>
  <si>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</si>
  <si>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</si>
  <si>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0,1740</t>
    </r>
  </si>
  <si>
    <r>
      <rPr>
        <rFont val="Arial"/>
        <color theme="1"/>
        <sz val="10.0"/>
      </rPr>
      <t>2,5</t>
    </r>
  </si>
  <si>
    <r>
      <rPr>
        <rFont val="Arial"/>
        <color theme="1"/>
        <sz val="10.0"/>
      </rPr>
      <t>17,1</t>
    </r>
  </si>
  <si>
    <r>
      <rPr>
        <rFont val="Arial"/>
        <color theme="1"/>
        <sz val="10.0"/>
      </rPr>
      <t>764,3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</si>
  <si>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</si>
  <si>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</si>
  <si>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</si>
  <si>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0,0986</t>
    </r>
  </si>
  <si>
    <r>
      <rPr>
        <rFont val="Arial"/>
        <color theme="1"/>
        <sz val="10.0"/>
      </rPr>
      <t>3,5</t>
    </r>
  </si>
  <si>
    <r>
      <rPr>
        <rFont val="Arial"/>
        <color theme="1"/>
        <sz val="10.0"/>
      </rPr>
      <t>19,2</t>
    </r>
  </si>
  <si>
    <r>
      <rPr>
        <rFont val="Arial"/>
        <color theme="1"/>
        <sz val="10.0"/>
      </rPr>
      <t>764,8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</si>
  <si>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</si>
  <si>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</si>
  <si>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</si>
  <si>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0,2016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</si>
  <si>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</si>
  <si>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18,7</t>
    </r>
  </si>
  <si>
    <r>
      <rPr>
        <rFont val="Arial"/>
        <color theme="1"/>
        <sz val="10.0"/>
      </rPr>
      <t>765,0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</si>
  <si>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</si>
  <si>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</si>
  <si>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</si>
  <si>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0,0887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</si>
  <si>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</si>
  <si>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27,9</t>
    </r>
  </si>
  <si>
    <r>
      <rPr>
        <rFont val="Arial"/>
        <color theme="1"/>
        <sz val="10.0"/>
      </rPr>
      <t>762,0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</si>
  <si>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</si>
  <si>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</si>
  <si>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</si>
  <si>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0,3828</t>
    </r>
  </si>
  <si>
    <r>
      <rPr>
        <rFont val="Arial"/>
        <color theme="1"/>
        <sz val="10.0"/>
      </rPr>
      <t>3,4</t>
    </r>
  </si>
  <si>
    <r>
      <rPr>
        <rFont val="Arial"/>
        <color theme="1"/>
        <sz val="10.0"/>
      </rPr>
      <t>27,0</t>
    </r>
  </si>
  <si>
    <r>
      <rPr>
        <rFont val="Arial"/>
        <color theme="1"/>
        <sz val="10.0"/>
      </rPr>
      <t>762,0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</si>
  <si>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</si>
  <si>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</si>
  <si>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</si>
  <si>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0,1113</t>
    </r>
  </si>
  <si>
    <r>
      <rPr>
        <rFont val="Arial"/>
        <color theme="1"/>
        <sz val="10.0"/>
      </rPr>
      <t>3,7</t>
    </r>
  </si>
  <si>
    <r>
      <rPr>
        <rFont val="Arial"/>
        <color theme="1"/>
        <sz val="10.0"/>
      </rPr>
      <t>29,0</t>
    </r>
  </si>
  <si>
    <r>
      <rPr>
        <rFont val="Arial"/>
        <color theme="1"/>
        <sz val="10.0"/>
      </rPr>
      <t>763,0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</si>
  <si>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</si>
  <si>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</si>
  <si>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</si>
  <si>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4,4</t>
    </r>
  </si>
  <si>
    <r>
      <rPr>
        <rFont val="Arial"/>
        <color theme="1"/>
        <sz val="10.0"/>
      </rPr>
      <t>20,8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</si>
  <si>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</si>
  <si>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</si>
  <si>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</si>
  <si>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4,8</t>
    </r>
  </si>
  <si>
    <r>
      <rPr>
        <rFont val="Arial"/>
        <color theme="1"/>
        <sz val="10.0"/>
      </rPr>
      <t>21,7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</si>
  <si>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</si>
  <si>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</si>
  <si>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</si>
  <si>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5,3</t>
    </r>
  </si>
  <si>
    <r>
      <rPr>
        <rFont val="Arial"/>
        <color theme="1"/>
        <sz val="10.0"/>
      </rPr>
      <t>22,4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</si>
  <si>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</si>
  <si>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</si>
  <si>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</si>
  <si>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5,0</t>
    </r>
  </si>
  <si>
    <r>
      <rPr>
        <rFont val="Arial"/>
        <color theme="1"/>
        <sz val="10.0"/>
      </rPr>
      <t>22,5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</si>
  <si>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</si>
  <si>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</si>
  <si>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102 Самал (Макатский район, вахтовый поселок Самал)</t>
    </r>
  </si>
  <si>
    <r>
      <rPr>
        <rFont val="Arial"/>
        <color theme="1"/>
        <sz val="10.0"/>
      </rPr>
      <t>5,2</t>
    </r>
  </si>
  <si>
    <r>
      <rPr>
        <rFont val="Arial"/>
        <color theme="1"/>
        <sz val="10.0"/>
      </rPr>
      <t>22,8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</si>
  <si>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</si>
  <si>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</si>
  <si>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</si>
  <si>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5,5</t>
    </r>
  </si>
  <si>
    <r>
      <rPr>
        <rFont val="Arial"/>
        <color theme="1"/>
        <sz val="10.0"/>
      </rPr>
      <t>22,2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</si>
  <si>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</si>
  <si>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</si>
  <si>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</si>
  <si>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3,2</t>
    </r>
  </si>
  <si>
    <r>
      <rPr>
        <rFont val="Arial"/>
        <color theme="1"/>
        <sz val="10.0"/>
      </rPr>
      <t>23,3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</si>
  <si>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</si>
  <si>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</si>
  <si>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</si>
  <si>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</si>
  <si>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25,5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</si>
  <si>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</si>
  <si>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</si>
  <si>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117 Карабатан (Железнодорожная станция Карабатан)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</si>
  <si>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</si>
  <si>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26,2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</si>
  <si>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</si>
  <si>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</si>
  <si>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</si>
  <si>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</si>
  <si>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25,3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</si>
  <si>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</si>
  <si>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</si>
  <si>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</si>
  <si>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</si>
  <si>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25,3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</si>
  <si>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</si>
  <si>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</si>
  <si>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</si>
  <si>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1,5</t>
    </r>
  </si>
  <si>
    <r>
      <rPr>
        <rFont val="Arial"/>
        <color theme="1"/>
        <sz val="10.0"/>
      </rPr>
      <t>26,4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</si>
  <si>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</si>
  <si>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</si>
  <si>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</si>
  <si>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3,1</t>
    </r>
  </si>
  <si>
    <r>
      <rPr>
        <rFont val="Arial"/>
        <color theme="1"/>
        <sz val="10.0"/>
      </rPr>
      <t>24,6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</si>
  <si>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</si>
  <si>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</si>
  <si>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</si>
  <si>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</si>
  <si>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25,1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</si>
  <si>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</si>
  <si>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</si>
  <si>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</si>
  <si>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</si>
  <si>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24,5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</si>
  <si>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</si>
  <si>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</si>
  <si>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</si>
  <si>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</si>
  <si>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</si>
  <si>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</si>
  <si>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</si>
  <si>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</si>
  <si>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</si>
  <si>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</si>
  <si>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</si>
  <si>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</si>
  <si>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</si>
  <si>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</si>
  <si>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</si>
  <si>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</si>
  <si>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</si>
  <si>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</si>
  <si>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</si>
  <si>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</si>
  <si>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</si>
  <si>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</si>
  <si>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</si>
  <si>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</si>
  <si>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</si>
  <si>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500. 3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</si>
  <si>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</si>
  <si>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</si>
  <si>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</si>
  <si>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</si>
  <si>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500. 3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</si>
  <si>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</si>
  <si>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</si>
  <si>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</si>
  <si>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</si>
  <si>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500. 3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</si>
  <si>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</si>
  <si>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</si>
  <si>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</si>
  <si>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</si>
  <si>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</si>
  <si>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</si>
  <si>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</si>
  <si>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</si>
  <si>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</si>
  <si>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</si>
  <si>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</si>
  <si>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</si>
  <si>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</si>
  <si>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</si>
  <si>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</si>
  <si>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</si>
  <si>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</si>
  <si>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</si>
  <si>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</si>
  <si>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</si>
  <si>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</si>
  <si>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</si>
  <si>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</si>
  <si>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</si>
  <si>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</si>
  <si>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</si>
  <si>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</si>
  <si>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</si>
  <si>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</si>
  <si>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</si>
  <si>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</si>
  <si>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</si>
  <si>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</si>
  <si>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</si>
  <si>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</si>
  <si>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</si>
  <si>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</si>
  <si>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</si>
  <si>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</si>
  <si>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</si>
  <si>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</si>
  <si>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</si>
  <si>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</si>
  <si>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</si>
  <si>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</si>
  <si>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</si>
  <si>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</si>
  <si>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</si>
  <si>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</si>
  <si>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</si>
  <si>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</si>
  <si>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</si>
  <si>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</si>
  <si>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</si>
  <si>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</si>
  <si>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</si>
  <si>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</si>
  <si>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</si>
  <si>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</si>
  <si>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</si>
  <si>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</si>
  <si>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</si>
  <si>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0:40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</si>
  <si>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</si>
  <si>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</si>
  <si>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</si>
  <si>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</si>
  <si>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</si>
  <si>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</si>
  <si>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</si>
  <si>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</si>
  <si>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</si>
  <si>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</si>
  <si>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</si>
  <si>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</si>
  <si>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</si>
  <si>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</si>
  <si>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</si>
  <si>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</si>
  <si>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</si>
  <si>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</si>
  <si>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</si>
  <si>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</si>
  <si>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</si>
  <si>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</si>
  <si>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</si>
  <si>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</si>
  <si>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</si>
  <si>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</si>
  <si>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</si>
  <si>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</si>
  <si>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</si>
  <si>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</si>
  <si>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</si>
  <si>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</si>
  <si>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</si>
  <si>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</si>
  <si>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</si>
  <si>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</si>
  <si>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</si>
  <si>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</si>
  <si>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</si>
  <si>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</si>
  <si>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</si>
  <si>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</si>
  <si>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</si>
  <si>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</si>
  <si>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</si>
  <si>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</si>
  <si>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</si>
  <si>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</si>
  <si>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</si>
  <si>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</si>
  <si>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</si>
  <si>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</si>
  <si>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</si>
  <si>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</si>
  <si>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</si>
  <si>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</si>
  <si>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</si>
  <si>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</si>
  <si>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</si>
  <si>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</si>
  <si>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</si>
  <si>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</si>
  <si>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</si>
  <si>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</si>
  <si>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</si>
  <si>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</si>
  <si>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</si>
  <si>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</si>
  <si>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</si>
  <si>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</si>
  <si>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</si>
  <si>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</si>
  <si>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</si>
  <si>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</si>
  <si>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</si>
  <si>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</si>
  <si>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</si>
  <si>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</si>
  <si>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</si>
  <si>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</si>
  <si>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</si>
  <si>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</si>
  <si>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</si>
  <si>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</si>
  <si>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</si>
  <si>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</si>
  <si>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</si>
  <si>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</si>
  <si>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</si>
  <si>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</si>
  <si>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</si>
  <si>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</si>
  <si>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</si>
  <si>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</si>
  <si>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t>№ 112 Акимат (ул. Сатпаева, центральный мост)</t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</si>
  <si>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</si>
  <si>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</si>
  <si>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</si>
  <si>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</si>
  <si>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</si>
  <si>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</si>
  <si>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</si>
  <si>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</si>
  <si>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</si>
  <si>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1:40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</si>
  <si>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</si>
  <si>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</si>
  <si>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</si>
  <si>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</si>
  <si>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</si>
  <si>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</si>
  <si>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</si>
  <si>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</si>
  <si>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</si>
  <si>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</si>
  <si>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2,5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</si>
  <si>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</si>
  <si>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</si>
  <si>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</si>
  <si>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</si>
  <si>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2,5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</si>
  <si>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</si>
  <si>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</si>
  <si>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</si>
  <si>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</si>
  <si>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2,6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</si>
  <si>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</si>
  <si>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</si>
  <si>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</si>
  <si>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</si>
  <si>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2,8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</si>
  <si>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</si>
  <si>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</si>
  <si>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</si>
  <si>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</si>
  <si>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</si>
  <si>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</si>
  <si>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</si>
  <si>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</si>
  <si>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</si>
  <si>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2,9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</si>
  <si>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</si>
  <si>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</si>
  <si>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</si>
  <si>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</si>
  <si>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3,3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</si>
  <si>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</si>
  <si>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</si>
  <si>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</si>
  <si>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</si>
  <si>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0,1622</t>
    </r>
  </si>
  <si>
    <r>
      <rPr>
        <rFont val="Arial"/>
        <color theme="1"/>
        <sz val="10.0"/>
      </rPr>
      <t>3,4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</si>
  <si>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</si>
  <si>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</si>
  <si>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</si>
  <si>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</si>
  <si>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3,4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</si>
  <si>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</si>
  <si>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</si>
  <si>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</si>
  <si>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</si>
  <si>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3,5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</si>
  <si>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</si>
  <si>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</si>
  <si>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</si>
  <si>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</si>
  <si>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</si>
  <si>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</si>
  <si>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</si>
  <si>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</si>
  <si>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</si>
  <si>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</si>
  <si>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</si>
  <si>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</si>
  <si>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</si>
  <si>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</si>
  <si>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</si>
  <si>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</si>
  <si>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</si>
  <si>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</si>
  <si>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</si>
  <si>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</si>
  <si>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</si>
  <si>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</si>
  <si>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</si>
  <si>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</si>
  <si>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</si>
  <si>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</si>
  <si>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</si>
  <si>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</si>
  <si>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</si>
  <si>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</si>
  <si>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</si>
  <si>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</si>
  <si>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</si>
  <si>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</si>
  <si>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</si>
  <si>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</si>
  <si>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-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</si>
  <si>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</si>
  <si>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</si>
  <si>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</si>
  <si>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2,3</t>
    </r>
  </si>
  <si>
    <r>
      <rPr>
        <rFont val="Arial"/>
        <color theme="1"/>
        <sz val="10.0"/>
      </rPr>
      <t>19,7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</si>
  <si>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</si>
  <si>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</si>
  <si>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</si>
  <si>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</si>
  <si>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19,9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</si>
  <si>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</si>
  <si>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</si>
  <si>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</si>
  <si>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</si>
  <si>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20,7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</si>
  <si>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</si>
  <si>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</si>
  <si>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</si>
  <si>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1,8</t>
    </r>
  </si>
  <si>
    <r>
      <rPr>
        <rFont val="Arial"/>
        <color theme="1"/>
        <sz val="10.0"/>
      </rPr>
      <t>20,5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</si>
  <si>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</si>
  <si>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</si>
  <si>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</si>
  <si>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2,3</t>
    </r>
  </si>
  <si>
    <r>
      <rPr>
        <rFont val="Arial"/>
        <color theme="1"/>
        <sz val="10.0"/>
      </rPr>
      <t>19,9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</si>
  <si>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</si>
  <si>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</si>
  <si>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</si>
  <si>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2,7</t>
    </r>
  </si>
  <si>
    <r>
      <rPr>
        <rFont val="Arial"/>
        <color theme="1"/>
        <sz val="10.0"/>
      </rPr>
      <t>19,2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</si>
  <si>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</si>
  <si>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</si>
  <si>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</si>
  <si>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</si>
  <si>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20,6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</si>
  <si>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</si>
  <si>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</si>
  <si>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</si>
  <si>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</si>
  <si>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22,1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</si>
  <si>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</si>
  <si>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</si>
  <si>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</si>
  <si>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</si>
  <si>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21,8</t>
    </r>
  </si>
  <si>
    <r>
      <rPr>
        <rFont val="Arial"/>
        <color theme="1"/>
        <sz val="10.0"/>
      </rPr>
      <t>754,7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</si>
  <si>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</si>
  <si>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</si>
  <si>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</si>
  <si>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</si>
  <si>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21,7</t>
    </r>
  </si>
  <si>
    <r>
      <rPr>
        <rFont val="Arial"/>
        <color theme="1"/>
        <sz val="10.0"/>
      </rPr>
      <t>754,7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</si>
  <si>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</si>
  <si>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</si>
  <si>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</si>
  <si>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</si>
  <si>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22,1</t>
    </r>
  </si>
  <si>
    <r>
      <rPr>
        <rFont val="Arial"/>
        <color theme="1"/>
        <sz val="10.0"/>
      </rPr>
      <t>754,7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</si>
  <si>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</si>
  <si>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</si>
  <si>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102 Самал (ВахтовыйпоселокСамал)</t>
    </r>
  </si>
  <si>
    <r>
      <rPr>
        <rFont val="Arial"/>
        <color theme="1"/>
        <sz val="10.0"/>
      </rPr>
      <t>1,8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</si>
  <si>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</si>
  <si>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</si>
  <si>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</si>
  <si>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</si>
  <si>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</si>
  <si>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</si>
  <si>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</si>
  <si>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</si>
  <si>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</si>
  <si>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</si>
  <si>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</si>
  <si>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</si>
  <si>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</si>
  <si>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</si>
  <si>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</si>
  <si>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</si>
  <si>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</si>
  <si>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</si>
  <si>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</si>
  <si>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</si>
  <si>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</si>
  <si>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</si>
  <si>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</si>
  <si>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</si>
  <si>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1,8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</si>
  <si>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</si>
  <si>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</si>
  <si>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</si>
  <si>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</si>
  <si>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</si>
  <si>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</si>
  <si>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</si>
  <si>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</si>
  <si>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</si>
  <si>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</si>
  <si>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</si>
  <si>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</si>
  <si>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</si>
  <si>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</si>
  <si>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</si>
  <si>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29,0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</si>
  <si>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</si>
  <si>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</si>
  <si>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</si>
  <si>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</si>
  <si>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</si>
  <si>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</si>
  <si>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</si>
  <si>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</si>
  <si>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</si>
  <si>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</si>
  <si>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</si>
  <si>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</si>
  <si>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</si>
  <si>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0,8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</si>
  <si>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</si>
  <si>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</si>
  <si>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</si>
  <si>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</si>
  <si>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</si>
  <si>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</si>
  <si>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</si>
  <si>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</si>
  <si>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</si>
  <si>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</si>
  <si>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</si>
  <si>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</si>
  <si>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</si>
  <si>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</si>
  <si>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</si>
  <si>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</si>
  <si>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</si>
  <si>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</si>
  <si>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</si>
  <si>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</si>
  <si>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</si>
  <si>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</si>
  <si>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</si>
  <si>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</si>
  <si>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</si>
  <si>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113 Авангард (паркПобеды)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</si>
  <si>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</si>
  <si>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</si>
  <si>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</si>
  <si>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</si>
  <si>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</si>
  <si>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</si>
  <si>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28,0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</si>
  <si>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</si>
  <si>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10:00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</si>
  <si>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</si>
  <si>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</si>
  <si>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27,0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</si>
  <si>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</si>
  <si>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10:20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</si>
  <si>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</si>
  <si>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1,6</t>
    </r>
  </si>
  <si>
    <r>
      <rPr>
        <rFont val="Arial"/>
        <color theme="1"/>
        <sz val="10.0"/>
      </rPr>
      <t>27,0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</si>
  <si>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</si>
  <si>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</si>
  <si>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</si>
  <si>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</si>
  <si>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</si>
  <si>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</si>
  <si>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</si>
  <si>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</si>
  <si>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1,6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</si>
  <si>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</si>
  <si>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</si>
  <si>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</si>
  <si>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</si>
  <si>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1,3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</si>
  <si>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</si>
  <si>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</si>
  <si>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</si>
  <si>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</si>
  <si>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</si>
  <si>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</si>
  <si>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</si>
  <si>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</si>
  <si>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</si>
  <si>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1,5</t>
    </r>
  </si>
  <si>
    <r>
      <rPr>
        <rFont val="Arial"/>
        <color theme="1"/>
        <sz val="10.0"/>
      </rPr>
      <t>20,0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</si>
  <si>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</si>
  <si>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</si>
  <si>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</si>
  <si>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</si>
  <si>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24,0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</si>
  <si>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</si>
  <si>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</si>
  <si>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</si>
  <si>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</si>
  <si>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</si>
  <si>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</si>
  <si>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</si>
  <si>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</si>
  <si>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1,5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</si>
  <si>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</si>
  <si>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</si>
  <si>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</si>
  <si>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</si>
  <si>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1,4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</si>
  <si>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</si>
  <si>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</si>
  <si>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</si>
  <si>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</si>
  <si>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1,8</t>
    </r>
  </si>
  <si>
    <r>
      <rPr>
        <rFont val="Arial"/>
        <color theme="1"/>
        <sz val="10.0"/>
      </rPr>
      <t>27,0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</si>
  <si>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</si>
  <si>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</si>
  <si>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</si>
  <si>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</si>
  <si>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28,0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</si>
  <si>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</si>
  <si>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10:00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</si>
  <si>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</si>
  <si>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2,1</t>
    </r>
  </si>
  <si>
    <r>
      <rPr>
        <rFont val="Arial"/>
        <color theme="1"/>
        <sz val="10.0"/>
      </rPr>
      <t>28,0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</si>
  <si>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</si>
  <si>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</si>
  <si>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</si>
  <si>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</si>
  <si>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26,0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</si>
  <si>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</si>
  <si>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</si>
  <si>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</si>
  <si>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1,1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</si>
  <si>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</si>
  <si>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</si>
  <si>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22:20</t>
    </r>
  </si>
  <si>
    <r>
      <rPr>
        <rFont val="Arial"/>
        <color theme="1"/>
        <sz val="10.0"/>
      </rPr>
      <t>№ 114 Загородная (трассаАтырау- Уральск)</t>
    </r>
  </si>
  <si>
    <r>
      <rPr>
        <rFont val="Arial"/>
        <color theme="1"/>
        <sz val="10.0"/>
      </rPr>
      <t>1,3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</si>
  <si>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</si>
  <si>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</si>
  <si>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</si>
  <si>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</si>
  <si>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</si>
  <si>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</si>
  <si>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</si>
  <si>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</si>
  <si>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</si>
  <si>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</si>
  <si>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</si>
  <si>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</si>
  <si>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</si>
  <si>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</si>
  <si>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</si>
  <si>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</si>
  <si>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</si>
  <si>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</si>
  <si>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109 Восток (ул. Махамбета, парк Курмангазы)</t>
    </r>
  </si>
  <si>
    <r>
      <rPr>
        <rFont val="Arial"/>
        <color theme="1"/>
        <sz val="10.0"/>
      </rPr>
      <t>1,2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</si>
  <si>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</si>
  <si>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</si>
  <si>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</si>
  <si>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</si>
  <si>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2,1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</si>
  <si>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</si>
  <si>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</si>
  <si>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</si>
  <si>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</si>
  <si>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</si>
  <si>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</si>
  <si>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</si>
  <si>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</si>
  <si>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</si>
  <si>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</si>
  <si>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</si>
  <si>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</si>
  <si>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</si>
  <si>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103 Шагала (ул. Смагулова)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</si>
  <si>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</si>
  <si>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</si>
  <si>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</si>
  <si>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</si>
  <si>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</si>
  <si>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1,7</t>
    </r>
  </si>
  <si>
    <r>
      <rPr>
        <rFont val="Arial"/>
        <color theme="1"/>
        <sz val="10.0"/>
      </rPr>
      <t>24,0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</si>
  <si>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</si>
  <si>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</si>
  <si>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</si>
  <si>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</si>
  <si>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</si>
  <si>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</si>
  <si>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</si>
  <si>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</si>
  <si>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1,9</t>
    </r>
  </si>
  <si>
    <r>
      <rPr>
        <rFont val="Arial"/>
        <color theme="1"/>
        <sz val="10.0"/>
      </rPr>
      <t>25,0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</si>
  <si>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</si>
  <si>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</si>
  <si>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</si>
  <si>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</si>
  <si>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</si>
  <si>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</si>
  <si>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</si>
  <si>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№ 111 Жилгородок (ул. Заполярная, дом Нефтяников)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</si>
  <si>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</si>
  <si>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</si>
  <si>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</si>
  <si>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</si>
  <si>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</si>
  <si>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24,0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</si>
  <si>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</si>
  <si>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</si>
  <si>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</si>
  <si>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</si>
  <si>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</si>
  <si>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</si>
  <si>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</si>
  <si>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</si>
  <si>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</si>
  <si>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</si>
  <si>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</si>
  <si>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</si>
  <si>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</si>
  <si>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0,9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</si>
  <si>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</si>
  <si>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</si>
  <si>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</si>
  <si>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110 Привокзальный (ул. Еркинова)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</si>
  <si>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</si>
  <si>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</si>
  <si>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</si>
  <si>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</si>
  <si>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</si>
  <si>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</si>
  <si>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21,0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</si>
  <si>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</si>
  <si>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</si>
  <si>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</si>
  <si>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</si>
  <si>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</si>
  <si>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</si>
  <si>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0:00</t>
    </r>
  </si>
  <si>
    <r>
      <rPr>
        <rFont val="Arial"/>
        <color theme="1"/>
        <sz val="10.0"/>
      </rPr>
      <t>№ 112 Акимат (ул. Сатпаева, центральный мост)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</si>
  <si>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</si>
  <si>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22,0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</si>
  <si>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</si>
  <si>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</si>
  <si>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№ 114 Загородная (трасса Атырау- Уральск)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</si>
  <si>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</si>
  <si>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23,0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</si>
  <si>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</si>
  <si>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</si>
  <si>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</si>
  <si>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0,1049</t>
    </r>
  </si>
  <si>
    <r>
      <rPr>
        <rFont val="Arial"/>
        <color theme="1"/>
        <sz val="10.0"/>
      </rPr>
      <t>2,5</t>
    </r>
  </si>
  <si>
    <r>
      <rPr>
        <rFont val="Arial"/>
        <color theme="1"/>
        <sz val="10.0"/>
      </rPr>
      <t>10,0</t>
    </r>
  </si>
  <si>
    <r>
      <rPr>
        <rFont val="Arial"/>
        <color theme="1"/>
        <sz val="10.0"/>
      </rPr>
      <t>767,6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</si>
  <si>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</si>
  <si>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</si>
  <si>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</si>
  <si>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0,1204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</si>
  <si>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</si>
  <si>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10,0</t>
    </r>
  </si>
  <si>
    <r>
      <rPr>
        <rFont val="Arial"/>
        <color theme="1"/>
        <sz val="10.0"/>
      </rPr>
      <t>767,6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</si>
  <si>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</si>
  <si>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</si>
  <si>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</si>
  <si>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0,0921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</si>
  <si>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</si>
  <si>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9,0</t>
    </r>
  </si>
  <si>
    <r>
      <rPr>
        <rFont val="Arial"/>
        <color theme="1"/>
        <sz val="10.0"/>
      </rPr>
      <t>767,7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</si>
  <si>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</si>
  <si>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</si>
  <si>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</si>
  <si>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0,0976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</si>
  <si>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</si>
  <si>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9,0</t>
    </r>
  </si>
  <si>
    <r>
      <rPr>
        <rFont val="Arial"/>
        <color theme="1"/>
        <sz val="10.0"/>
      </rPr>
      <t>767,7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</si>
  <si>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</si>
  <si>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</si>
  <si>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</si>
  <si>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0,1122</t>
    </r>
  </si>
  <si>
    <r>
      <rPr>
        <rFont val="Arial"/>
        <color theme="1"/>
        <sz val="10.0"/>
      </rPr>
      <t>2,4</t>
    </r>
  </si>
  <si>
    <r>
      <rPr>
        <rFont val="Arial"/>
        <color theme="1"/>
        <sz val="10.0"/>
      </rPr>
      <t>9,0</t>
    </r>
  </si>
  <si>
    <r>
      <rPr>
        <rFont val="Arial"/>
        <color theme="1"/>
        <sz val="10.0"/>
      </rPr>
      <t>767,7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</si>
  <si>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</si>
  <si>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</si>
  <si>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</si>
  <si>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</si>
  <si>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19,0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</si>
  <si>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</si>
  <si>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20:20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</si>
  <si>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</si>
  <si>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2,8</t>
    </r>
  </si>
  <si>
    <r>
      <rPr>
        <rFont val="Arial"/>
        <color theme="1"/>
        <sz val="10.0"/>
      </rPr>
      <t>19,0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</si>
  <si>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</si>
  <si>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20:40</t>
    </r>
  </si>
  <si>
    <r>
      <rPr>
        <rFont val="Arial"/>
        <color theme="1"/>
        <sz val="10.0"/>
      </rPr>
      <t>№ 102 Самал (Вахтовый поселок Самал)</t>
    </r>
  </si>
  <si>
    <r>
      <rPr>
        <rFont val="Arial"/>
        <color theme="1"/>
        <sz val="10.0"/>
      </rPr>
      <t>2,9</t>
    </r>
  </si>
  <si>
    <r>
      <rPr>
        <rFont val="Arial"/>
        <color theme="1"/>
        <sz val="10.0"/>
      </rPr>
      <t>19,0</t>
    </r>
  </si>
  <si>
    <t>г. Актобе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</si>
  <si>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</si>
  <si>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</si>
  <si>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№2 (ул.Рыскулова 4Г)</t>
    </r>
  </si>
  <si>
    <r>
      <rPr>
        <rFont val="Arial"/>
        <color theme="1"/>
        <sz val="10.0"/>
      </rPr>
      <t>0,0846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</si>
  <si>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</si>
  <si>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12,1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</si>
  <si>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</si>
  <si>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</si>
  <si>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№2 (ул.Рыскулова 4Г)</t>
    </r>
  </si>
  <si>
    <r>
      <rPr>
        <rFont val="Arial"/>
        <color theme="1"/>
        <sz val="10.0"/>
      </rPr>
      <t>0,0850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</si>
  <si>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</si>
  <si>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12,4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</si>
  <si>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</si>
  <si>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</si>
  <si>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№2 (ул.Рыскулова 4Г)</t>
    </r>
  </si>
  <si>
    <r>
      <rPr>
        <rFont val="Arial"/>
        <color theme="1"/>
        <sz val="10.0"/>
      </rPr>
      <t>0,0819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</si>
  <si>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</si>
  <si>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20,4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</si>
  <si>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</si>
  <si>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</si>
  <si>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№3 (Есет батыра 109А)</t>
    </r>
  </si>
  <si>
    <r>
      <rPr>
        <rFont val="Arial"/>
        <color theme="1"/>
        <sz val="10.0"/>
      </rPr>
      <t>0,13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</si>
  <si>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</si>
  <si>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25,5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</si>
  <si>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</si>
  <si>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</si>
  <si>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№3 (Есет батыра 109А)</t>
    </r>
  </si>
  <si>
    <r>
      <rPr>
        <rFont val="Arial"/>
        <color theme="1"/>
        <sz val="10.0"/>
      </rPr>
      <t>0,1705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</si>
  <si>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</si>
  <si>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25,5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</si>
  <si>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</si>
  <si>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</si>
  <si>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№3 (Есет батыра 109А)</t>
    </r>
  </si>
  <si>
    <r>
      <rPr>
        <rFont val="Arial"/>
        <color theme="1"/>
        <sz val="10.0"/>
      </rPr>
      <t>0,1203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</si>
  <si>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</si>
  <si>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25,6</t>
    </r>
  </si>
  <si>
    <t>с. Кенкияк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</si>
  <si>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</si>
  <si>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12:00</t>
    </r>
  </si>
  <si>
    <r>
      <rPr>
        <rFont val="Arial"/>
        <color theme="1"/>
        <sz val="10.0"/>
      </rPr>
      <t>№ 1 Кенкияк (ул.Ы.Алтынсарина, 11Б, село Кенкияк)</t>
    </r>
  </si>
  <si>
    <r>
      <rPr>
        <rFont val="Arial"/>
        <color theme="1"/>
        <sz val="10.0"/>
      </rPr>
      <t>0,1041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</si>
  <si>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</si>
  <si>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33,1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</si>
  <si>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</si>
  <si>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</si>
  <si>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12:20</t>
    </r>
  </si>
  <si>
    <r>
      <rPr>
        <rFont val="Arial"/>
        <color theme="1"/>
        <sz val="10.0"/>
      </rPr>
      <t>№ 1 Кенкияк (ул. Ы.Алтынсарина, 11Б, поселок Кенкияк)</t>
    </r>
  </si>
  <si>
    <r>
      <rPr>
        <rFont val="Arial"/>
        <color theme="1"/>
        <sz val="10.0"/>
      </rPr>
      <t>0,0954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</si>
  <si>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</si>
  <si>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34,0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</si>
  <si>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</si>
  <si>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</si>
  <si>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12:40</t>
    </r>
  </si>
  <si>
    <r>
      <rPr>
        <rFont val="Arial"/>
        <color theme="1"/>
        <sz val="10.0"/>
      </rPr>
      <t>№ 1 Кенкияк (ул. Ы.Алтынсарина, 11Б, поселок Кенкияк)</t>
    </r>
  </si>
  <si>
    <r>
      <rPr>
        <rFont val="Arial"/>
        <color theme="1"/>
        <sz val="10.0"/>
      </rPr>
      <t>0,0985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</si>
  <si>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</si>
  <si>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33,0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</si>
  <si>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</si>
  <si>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</si>
  <si>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13:00</t>
    </r>
  </si>
  <si>
    <r>
      <rPr>
        <rFont val="Arial"/>
        <color theme="1"/>
        <sz val="10.0"/>
      </rPr>
      <t>№ 1 Кенкияк (ул. Ы.Алтынсарина, 11Б, поселок Кенкияк)</t>
    </r>
  </si>
  <si>
    <r>
      <rPr>
        <rFont val="Arial"/>
        <color theme="1"/>
        <sz val="10.0"/>
      </rPr>
      <t>0,0813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</si>
  <si>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</si>
  <si>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34,0</t>
    </r>
  </si>
  <si>
    <r>
      <rPr>
        <rFont val="Arial"/>
        <color theme="1"/>
        <sz val="10.0"/>
      </rPr>
      <t>745,0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</si>
  <si>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</si>
  <si>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13:20</t>
    </r>
  </si>
  <si>
    <r>
      <rPr>
        <rFont val="Arial"/>
        <color theme="1"/>
        <sz val="10.0"/>
      </rPr>
      <t>№ 1 Кенкияк (ул. Ы.Алтынсарина, 11Б, поселок Кенкияк)</t>
    </r>
  </si>
  <si>
    <r>
      <rPr>
        <rFont val="Arial"/>
        <color theme="1"/>
        <sz val="10.0"/>
      </rPr>
      <t>0,1169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</si>
  <si>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</si>
  <si>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34,0</t>
    </r>
  </si>
  <si>
    <r>
      <rPr>
        <rFont val="Arial"/>
        <color theme="1"/>
        <sz val="10.0"/>
      </rPr>
      <t>745,0</t>
    </r>
  </si>
  <si>
    <t>г. Караганда</t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</si>
  <si>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</si>
  <si>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</si>
  <si>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</si>
  <si>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1,8293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</si>
  <si>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</si>
  <si>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-19,2</t>
    </r>
  </si>
  <si>
    <r>
      <rPr>
        <rFont val="Arial"/>
        <color theme="1"/>
        <sz val="10.0"/>
      </rPr>
      <t>728,8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</si>
  <si>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</si>
  <si>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</si>
  <si>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</si>
  <si>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1,7637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</si>
  <si>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</si>
  <si>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-19,7</t>
    </r>
  </si>
  <si>
    <r>
      <rPr>
        <rFont val="Arial"/>
        <color theme="1"/>
        <sz val="10.0"/>
      </rPr>
      <t>728,9</t>
    </r>
  </si>
  <si>
    <t>Взвещенные частицы РМ-2,5</t>
  </si>
  <si>
    <r>
      <rPr>
        <rFont val="Arial"/>
        <color theme="1"/>
        <sz val="10.0"/>
      </rPr>
      <t>21:20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</si>
  <si>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</si>
  <si>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1,9628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</si>
  <si>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</si>
  <si>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-20,7</t>
    </r>
  </si>
  <si>
    <r>
      <rPr>
        <rFont val="Arial"/>
        <color theme="1"/>
        <sz val="10.0"/>
      </rPr>
      <t>729,2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</si>
  <si>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</si>
  <si>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</si>
  <si>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1,9852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</si>
  <si>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</si>
  <si>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-20,7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</si>
  <si>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</si>
  <si>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</si>
  <si>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</si>
  <si>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1,9858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</si>
  <si>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</si>
  <si>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-21,0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</si>
  <si>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</si>
  <si>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22:20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</si>
  <si>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</si>
  <si>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2,014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</si>
  <si>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</si>
  <si>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-20,9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</si>
  <si>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</si>
  <si>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</si>
  <si>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</si>
  <si>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2,8867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</si>
  <si>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</si>
  <si>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-21,4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</si>
  <si>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</si>
  <si>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</si>
  <si>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</si>
  <si>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2,4244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</si>
  <si>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</si>
  <si>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-21,8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</si>
  <si>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</si>
  <si>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</si>
  <si>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</si>
  <si>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1,6397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</si>
  <si>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</si>
  <si>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-21,7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</si>
  <si>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</si>
  <si>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</si>
  <si>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</si>
  <si>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2,2915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</si>
  <si>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</si>
  <si>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-21,9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</si>
  <si>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</si>
  <si>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</si>
  <si>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</si>
  <si>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</si>
  <si>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4,2501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</si>
  <si>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</si>
  <si>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-22,4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</si>
  <si>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</si>
  <si>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</si>
  <si>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</si>
  <si>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</si>
  <si>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4,2552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</si>
  <si>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</si>
  <si>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-22,4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</si>
  <si>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</si>
  <si>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</si>
  <si>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</si>
  <si>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</si>
  <si>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3,0799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</si>
  <si>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</si>
  <si>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-22,8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</si>
  <si>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</si>
  <si>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</si>
  <si>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</si>
  <si>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</si>
  <si>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2,3916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</si>
  <si>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</si>
  <si>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-22,4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</si>
  <si>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</si>
  <si>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</si>
  <si>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</si>
  <si>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2,7824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</si>
  <si>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</si>
  <si>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-22,7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</si>
  <si>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</si>
  <si>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</si>
  <si>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</si>
  <si>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2,8209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</si>
  <si>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</si>
  <si>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-22,8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</si>
  <si>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</si>
  <si>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</si>
  <si>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</si>
  <si>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2,6607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</si>
  <si>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</si>
  <si>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-23,7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</si>
  <si>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</si>
  <si>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</si>
  <si>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</si>
  <si>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2,2453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</si>
  <si>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</si>
  <si>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-23,4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</si>
  <si>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</si>
  <si>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</si>
  <si>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</si>
  <si>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2,1864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</si>
  <si>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</si>
  <si>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-23,5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</si>
  <si>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</si>
  <si>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</si>
  <si>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</si>
  <si>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2,0299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</si>
  <si>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</si>
  <si>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-23,6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</si>
  <si>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</si>
  <si>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</si>
  <si>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</si>
  <si>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1,9204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</si>
  <si>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</si>
  <si>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-24,0</t>
    </r>
  </si>
  <si>
    <r>
      <rPr>
        <rFont val="Arial"/>
        <color theme="1"/>
        <sz val="10.0"/>
      </rPr>
      <t>729,6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</si>
  <si>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</si>
  <si>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</si>
  <si>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1,6201</t>
    </r>
  </si>
  <si>
    <r>
      <rPr>
        <rFont val="Arial"/>
        <color theme="1"/>
        <sz val="10.0"/>
      </rPr>
      <t>0,7</t>
    </r>
  </si>
  <si>
    <r>
      <rPr>
        <rFont val="Arial"/>
        <color theme="1"/>
        <sz val="10.0"/>
      </rPr>
      <t>-24,3</t>
    </r>
  </si>
  <si>
    <r>
      <rPr>
        <rFont val="Arial"/>
        <color theme="1"/>
        <sz val="10.0"/>
      </rPr>
      <t>729,7</t>
    </r>
  </si>
  <si>
    <r>
      <rPr>
        <rFont val="Arial"/>
        <color theme="1"/>
        <sz val="10.0"/>
      </rPr>
      <t>6:00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</si>
  <si>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</si>
  <si>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1,677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</si>
  <si>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</si>
  <si>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-24,5</t>
    </r>
  </si>
  <si>
    <r>
      <rPr>
        <rFont val="Arial"/>
        <color theme="1"/>
        <sz val="10.0"/>
      </rPr>
      <t>729,4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</si>
  <si>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</si>
  <si>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</si>
  <si>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</si>
  <si>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3,0833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</si>
  <si>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</si>
  <si>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-22,8</t>
    </r>
  </si>
  <si>
    <r>
      <rPr>
        <rFont val="Arial"/>
        <color theme="1"/>
        <sz val="10.0"/>
      </rPr>
      <t>729,5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</si>
  <si>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</si>
  <si>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</si>
  <si>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</si>
  <si>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1,6559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</si>
  <si>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</si>
  <si>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-13,9</t>
    </r>
  </si>
  <si>
    <r>
      <rPr>
        <rFont val="Arial"/>
        <color theme="1"/>
        <sz val="10.0"/>
      </rPr>
      <t>725,2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</si>
  <si>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</si>
  <si>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</si>
  <si>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</si>
  <si>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1,664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</si>
  <si>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</si>
  <si>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-13,5</t>
    </r>
  </si>
  <si>
    <r>
      <rPr>
        <rFont val="Arial"/>
        <color theme="1"/>
        <sz val="10.0"/>
      </rPr>
      <t>725,2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</si>
  <si>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</si>
  <si>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</si>
  <si>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</si>
  <si>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1,702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</si>
  <si>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</si>
  <si>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-13,3</t>
    </r>
  </si>
  <si>
    <r>
      <rPr>
        <rFont val="Arial"/>
        <color theme="1"/>
        <sz val="10.0"/>
      </rPr>
      <t>725,8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</si>
  <si>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</si>
  <si>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9:20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</si>
  <si>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</si>
  <si>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2,2523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</si>
  <si>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</si>
  <si>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-20,5</t>
    </r>
  </si>
  <si>
    <r>
      <rPr>
        <rFont val="Arial"/>
        <color theme="1"/>
        <sz val="10.0"/>
      </rPr>
      <t>730,3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</si>
  <si>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</si>
  <si>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9:40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</si>
  <si>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</si>
  <si>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1,7112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</si>
  <si>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</si>
  <si>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-20,1</t>
    </r>
  </si>
  <si>
    <r>
      <rPr>
        <rFont val="Arial"/>
        <color theme="1"/>
        <sz val="10.0"/>
      </rPr>
      <t>730,3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</si>
  <si>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</si>
  <si>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</si>
  <si>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</si>
  <si>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1,7139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</si>
  <si>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</si>
  <si>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-15,3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</si>
  <si>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</si>
  <si>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</si>
  <si>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</si>
  <si>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</si>
  <si>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1,8762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</si>
  <si>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</si>
  <si>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-11,0</t>
    </r>
  </si>
  <si>
    <r>
      <rPr>
        <rFont val="Arial"/>
        <color theme="1"/>
        <sz val="10.0"/>
      </rPr>
      <t>724,5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</si>
  <si>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</si>
  <si>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</si>
  <si>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</si>
  <si>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1,7019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</si>
  <si>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</si>
  <si>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-12,0</t>
    </r>
  </si>
  <si>
    <r>
      <rPr>
        <rFont val="Arial"/>
        <color theme="1"/>
        <sz val="10.0"/>
      </rPr>
      <t>724,5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</si>
  <si>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</si>
  <si>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</si>
  <si>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</si>
  <si>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2,967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</si>
  <si>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</si>
  <si>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-17,1</t>
    </r>
  </si>
  <si>
    <r>
      <rPr>
        <rFont val="Arial"/>
        <color theme="1"/>
        <sz val="10.0"/>
      </rPr>
      <t>722,8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</si>
  <si>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</si>
  <si>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</si>
  <si>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</si>
  <si>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2,5545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</si>
  <si>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</si>
  <si>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-17,6</t>
    </r>
  </si>
  <si>
    <r>
      <rPr>
        <rFont val="Arial"/>
        <color theme="1"/>
        <sz val="10.0"/>
      </rPr>
      <t>722,7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</si>
  <si>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</si>
  <si>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</si>
  <si>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</si>
  <si>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2,1607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</si>
  <si>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</si>
  <si>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-17,5</t>
    </r>
  </si>
  <si>
    <r>
      <rPr>
        <rFont val="Arial"/>
        <color theme="1"/>
        <sz val="10.0"/>
      </rPr>
      <t>722,6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</si>
  <si>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</si>
  <si>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</si>
  <si>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</si>
  <si>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2,5541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</si>
  <si>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</si>
  <si>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-18,2</t>
    </r>
  </si>
  <si>
    <r>
      <rPr>
        <rFont val="Arial"/>
        <color theme="1"/>
        <sz val="10.0"/>
      </rPr>
      <t>722,7</t>
    </r>
  </si>
  <si>
    <t>Взвещенные частицы РМ-2,6</t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</si>
  <si>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</si>
  <si>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</si>
  <si>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2,0987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</si>
  <si>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</si>
  <si>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-18,3</t>
    </r>
  </si>
  <si>
    <r>
      <rPr>
        <rFont val="Arial"/>
        <color theme="1"/>
        <sz val="10.0"/>
      </rPr>
      <t>722,6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</si>
  <si>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</si>
  <si>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</si>
  <si>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1,8259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</si>
  <si>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</si>
  <si>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-17,8</t>
    </r>
  </si>
  <si>
    <r>
      <rPr>
        <rFont val="Arial"/>
        <color theme="1"/>
        <sz val="10.0"/>
      </rPr>
      <t>722,7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</si>
  <si>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</si>
  <si>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</si>
  <si>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1,8872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</si>
  <si>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</si>
  <si>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-17,6</t>
    </r>
  </si>
  <si>
    <r>
      <rPr>
        <rFont val="Arial"/>
        <color theme="1"/>
        <sz val="10.0"/>
      </rPr>
      <t>722,7</t>
    </r>
  </si>
  <si>
    <r>
      <rPr>
        <rFont val="Arial"/>
        <color theme="1"/>
        <sz val="10.0"/>
      </rPr>
      <t>0:00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</si>
  <si>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</si>
  <si>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1,9748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</si>
  <si>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</si>
  <si>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-17,6</t>
    </r>
  </si>
  <si>
    <r>
      <rPr>
        <rFont val="Arial"/>
        <color theme="1"/>
        <sz val="10.0"/>
      </rPr>
      <t>722,6</t>
    </r>
  </si>
  <si>
    <r>
      <rPr>
        <rFont val="Arial"/>
        <color theme="1"/>
        <sz val="10.0"/>
      </rPr>
      <t>0:20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</si>
  <si>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</si>
  <si>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1,6672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</si>
  <si>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</si>
  <si>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-17,4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</si>
  <si>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</si>
  <si>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1:00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</si>
  <si>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</si>
  <si>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1,6589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</si>
  <si>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</si>
  <si>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-17,9</t>
    </r>
  </si>
  <si>
    <r>
      <rPr>
        <rFont val="Arial"/>
        <color theme="1"/>
        <sz val="10.0"/>
      </rPr>
      <t>722,3</t>
    </r>
  </si>
  <si>
    <t>Взвещенные частицы РМ-2,7</t>
  </si>
  <si>
    <r>
      <rPr>
        <rFont val="Arial"/>
        <color theme="1"/>
        <sz val="10.0"/>
      </rPr>
      <t>1:20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</si>
  <si>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</si>
  <si>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2,3659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</si>
  <si>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</si>
  <si>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-18,5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</si>
  <si>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</si>
  <si>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</si>
  <si>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</si>
  <si>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2,2162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</si>
  <si>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</si>
  <si>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-18,3</t>
    </r>
  </si>
  <si>
    <r>
      <rPr>
        <rFont val="Arial"/>
        <color theme="1"/>
        <sz val="10.0"/>
      </rPr>
      <t>722,1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</si>
  <si>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</si>
  <si>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</si>
  <si>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2,129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</si>
  <si>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</si>
  <si>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-18,5</t>
    </r>
  </si>
  <si>
    <r>
      <rPr>
        <rFont val="Arial"/>
        <color theme="1"/>
        <sz val="10.0"/>
      </rPr>
      <t>722,1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</si>
  <si>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</si>
  <si>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</si>
  <si>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2,4447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</si>
  <si>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</si>
  <si>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-19,3</t>
    </r>
  </si>
  <si>
    <r>
      <rPr>
        <rFont val="Arial"/>
        <color theme="1"/>
        <sz val="10.0"/>
      </rPr>
      <t>722,0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</si>
  <si>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</si>
  <si>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</si>
  <si>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2,2284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</si>
  <si>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</si>
  <si>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-19,6</t>
    </r>
  </si>
  <si>
    <r>
      <rPr>
        <rFont val="Arial"/>
        <color theme="1"/>
        <sz val="10.0"/>
      </rPr>
      <t>721,9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</si>
  <si>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</si>
  <si>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</si>
  <si>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2,2399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</si>
  <si>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</si>
  <si>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-20,1</t>
    </r>
  </si>
  <si>
    <r>
      <rPr>
        <rFont val="Arial"/>
        <color theme="1"/>
        <sz val="10.0"/>
      </rPr>
      <t>721,9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</si>
  <si>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</si>
  <si>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</si>
  <si>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</si>
  <si>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2,0952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</si>
  <si>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</si>
  <si>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-20,1</t>
    </r>
  </si>
  <si>
    <r>
      <rPr>
        <rFont val="Arial"/>
        <color theme="1"/>
        <sz val="10.0"/>
      </rPr>
      <t>721,6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</si>
  <si>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</si>
  <si>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</si>
  <si>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</si>
  <si>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1,6262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</si>
  <si>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</si>
  <si>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-27,7</t>
    </r>
  </si>
  <si>
    <r>
      <rPr>
        <rFont val="Arial"/>
        <color theme="1"/>
        <sz val="10.0"/>
      </rPr>
      <t>731,3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</si>
  <si>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</si>
  <si>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</si>
  <si>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1,6667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</si>
  <si>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</si>
  <si>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-27,7</t>
    </r>
  </si>
  <si>
    <r>
      <rPr>
        <rFont val="Arial"/>
        <color theme="1"/>
        <sz val="10.0"/>
      </rPr>
      <t>730,9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</si>
  <si>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</si>
  <si>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</si>
  <si>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</si>
  <si>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1,7617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</si>
  <si>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</si>
  <si>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-28,6</t>
    </r>
  </si>
  <si>
    <r>
      <rPr>
        <rFont val="Arial"/>
        <color theme="1"/>
        <sz val="10.0"/>
      </rPr>
      <t>731,0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</si>
  <si>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</si>
  <si>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</si>
  <si>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2,2855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</si>
  <si>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</si>
  <si>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-28,8</t>
    </r>
  </si>
  <si>
    <r>
      <rPr>
        <rFont val="Arial"/>
        <color theme="1"/>
        <sz val="10.0"/>
      </rPr>
      <t>731,0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</si>
  <si>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</si>
  <si>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6:20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</si>
  <si>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</si>
  <si>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2,2579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</si>
  <si>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</si>
  <si>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-28,8</t>
    </r>
  </si>
  <si>
    <r>
      <rPr>
        <rFont val="Arial"/>
        <color theme="1"/>
        <sz val="10.0"/>
      </rPr>
      <t>731,0</t>
    </r>
  </si>
  <si>
    <t>Взвещенные частицы РМ-2,8</t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</si>
  <si>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</si>
  <si>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</si>
  <si>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1,9768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</si>
  <si>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</si>
  <si>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-28,6</t>
    </r>
  </si>
  <si>
    <r>
      <rPr>
        <rFont val="Arial"/>
        <color theme="1"/>
        <sz val="10.0"/>
      </rPr>
      <t>731,0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</si>
  <si>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</si>
  <si>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</si>
  <si>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</si>
  <si>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1,608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</si>
  <si>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</si>
  <si>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-28,5</t>
    </r>
  </si>
  <si>
    <r>
      <rPr>
        <rFont val="Arial"/>
        <color theme="1"/>
        <sz val="10.0"/>
      </rPr>
      <t>730,9</t>
    </r>
  </si>
  <si>
    <t>Взвещенные частицы РМ-2,9</t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</si>
  <si>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</si>
  <si>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</si>
  <si>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1,873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</si>
  <si>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</si>
  <si>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-28,5</t>
    </r>
  </si>
  <si>
    <r>
      <rPr>
        <rFont val="Arial"/>
        <color theme="1"/>
        <sz val="10.0"/>
      </rPr>
      <t>730,9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</si>
  <si>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</si>
  <si>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</si>
  <si>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</si>
  <si>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1,9936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</si>
  <si>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</si>
  <si>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-28,7</t>
    </r>
  </si>
  <si>
    <r>
      <rPr>
        <rFont val="Arial"/>
        <color theme="1"/>
        <sz val="10.0"/>
      </rPr>
      <t>730,8</t>
    </r>
  </si>
  <si>
    <t>Взвещенные частицы РМ-2,10</t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</si>
  <si>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</si>
  <si>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</si>
  <si>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2,4318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</si>
  <si>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</si>
  <si>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-29,0</t>
    </r>
  </si>
  <si>
    <r>
      <rPr>
        <rFont val="Arial"/>
        <color theme="1"/>
        <sz val="10.0"/>
      </rPr>
      <t>730,7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</si>
  <si>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</si>
  <si>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</si>
  <si>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</si>
  <si>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2,7748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</si>
  <si>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</si>
  <si>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-29,4</t>
    </r>
  </si>
  <si>
    <r>
      <rPr>
        <rFont val="Arial"/>
        <color theme="1"/>
        <sz val="10.0"/>
      </rPr>
      <t>730,7</t>
    </r>
  </si>
  <si>
    <t>Взвещенные частицы РМ-2,11</t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</si>
  <si>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</si>
  <si>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</si>
  <si>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2,5234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</si>
  <si>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</si>
  <si>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-29,3</t>
    </r>
  </si>
  <si>
    <r>
      <rPr>
        <rFont val="Arial"/>
        <color theme="1"/>
        <sz val="10.0"/>
      </rPr>
      <t>730,6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</si>
  <si>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РМ-2,5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</si>
  <si>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</si>
  <si>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</si>
  <si>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1,9302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</si>
  <si>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</si>
  <si>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-28,5</t>
    </r>
  </si>
  <si>
    <r>
      <rPr>
        <rFont val="Arial"/>
        <color theme="1"/>
        <sz val="10.0"/>
      </rPr>
      <t>730,5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</si>
  <si>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</si>
  <si>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9:40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</si>
  <si>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</si>
  <si>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1,8419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</si>
  <si>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</si>
  <si>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-20,8</t>
    </r>
  </si>
  <si>
    <r>
      <rPr>
        <rFont val="Arial"/>
        <color theme="1"/>
        <sz val="10.0"/>
      </rPr>
      <t>728,9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</si>
  <si>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</si>
  <si>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21:00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</si>
  <si>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</si>
  <si>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2,0406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</si>
  <si>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</si>
  <si>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-6,7</t>
    </r>
  </si>
  <si>
    <r>
      <rPr>
        <rFont val="Arial"/>
        <color theme="1"/>
        <sz val="10.0"/>
      </rPr>
      <t>727,0</t>
    </r>
  </si>
  <si>
    <r>
      <rPr>
        <rFont val="Arial"/>
        <color theme="1"/>
        <sz val="10.0"/>
      </rPr>
      <t>21:20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</si>
  <si>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</si>
  <si>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1,6628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</si>
  <si>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</si>
  <si>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</si>
  <si>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727,0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</si>
  <si>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</si>
  <si>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</si>
  <si>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1,6267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</si>
  <si>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</si>
  <si>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-7,3</t>
    </r>
  </si>
  <si>
    <r>
      <rPr>
        <rFont val="Arial"/>
        <color theme="1"/>
        <sz val="10.0"/>
      </rPr>
      <t>726,9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</si>
  <si>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</si>
  <si>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</si>
  <si>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</si>
  <si>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</si>
  <si>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</si>
  <si>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726,9</t>
    </r>
  </si>
  <si>
    <r>
      <rPr>
        <rFont val="Arial"/>
        <color theme="1"/>
        <sz val="10.0"/>
      </rPr>
      <t>22:20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</si>
  <si>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</si>
  <si>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1,6628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</si>
  <si>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</si>
  <si>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</si>
  <si>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727,0</t>
    </r>
  </si>
  <si>
    <r>
      <rPr>
        <rFont val="Arial"/>
        <color theme="1"/>
        <sz val="10.0"/>
      </rPr>
      <t>22:40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</si>
  <si>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</si>
  <si>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1,6267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</si>
  <si>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</si>
  <si>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-7,3</t>
    </r>
  </si>
  <si>
    <r>
      <rPr>
        <rFont val="Arial"/>
        <color theme="1"/>
        <sz val="10.0"/>
      </rPr>
      <t>726,9</t>
    </r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</si>
  <si>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</si>
  <si>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</si>
  <si>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</si>
  <si>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</si>
  <si>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</si>
  <si>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726,9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</si>
  <si>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</si>
  <si>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</si>
  <si>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3,4901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</si>
  <si>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</si>
  <si>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</si>
  <si>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</si>
  <si>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</si>
  <si>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</si>
  <si>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3,7241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</si>
  <si>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</si>
  <si>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-9,3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</si>
  <si>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</si>
  <si>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</si>
  <si>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</si>
  <si>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</si>
  <si>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3,4937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</si>
  <si>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</si>
  <si>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</si>
  <si>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</si>
  <si>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</si>
  <si>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</si>
  <si>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</si>
  <si>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3,7286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</si>
  <si>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</si>
  <si>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-9,3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</si>
  <si>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</si>
  <si>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</si>
  <si>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</si>
  <si>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</si>
  <si>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3,2421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</si>
  <si>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</si>
  <si>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-9,1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</si>
  <si>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</si>
  <si>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</si>
  <si>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</si>
  <si>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</si>
  <si>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1,6014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</si>
  <si>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</si>
  <si>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-8,9</t>
    </r>
  </si>
  <si>
    <r>
      <rPr>
        <rFont val="Arial"/>
        <color theme="1"/>
        <sz val="10.0"/>
      </rPr>
      <t>726,7</t>
    </r>
  </si>
  <si>
    <r>
      <rPr>
        <rFont val="Arial"/>
        <color theme="1"/>
        <sz val="10.0"/>
      </rPr>
      <t>Взвещенные частицы РМ-10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</si>
  <si>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</si>
  <si>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</si>
  <si>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3,2459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</si>
  <si>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</si>
  <si>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-9,1</t>
    </r>
  </si>
  <si>
    <r>
      <rPr>
        <rFont val="Arial"/>
        <color theme="1"/>
        <sz val="10.0"/>
      </rPr>
      <t>726,8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</si>
  <si>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</si>
  <si>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</si>
  <si>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</si>
  <si>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1,9712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</si>
  <si>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</si>
  <si>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-3,4</t>
    </r>
  </si>
  <si>
    <r>
      <rPr>
        <rFont val="Arial"/>
        <color theme="1"/>
        <sz val="10.0"/>
      </rPr>
      <t>726,4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</si>
  <si>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</si>
  <si>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</si>
  <si>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</si>
  <si>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2,1623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</si>
  <si>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</si>
  <si>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-3,9</t>
    </r>
  </si>
  <si>
    <r>
      <rPr>
        <rFont val="Arial"/>
        <color theme="1"/>
        <sz val="10.0"/>
      </rPr>
      <t>726,3</t>
    </r>
  </si>
  <si>
    <r>
      <rPr>
        <rFont val="Arial"/>
        <color theme="1"/>
        <sz val="10.0"/>
      </rPr>
      <t>22:20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</si>
  <si>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</si>
  <si>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2,034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</si>
  <si>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</si>
  <si>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-4,4</t>
    </r>
  </si>
  <si>
    <r>
      <rPr>
        <rFont val="Arial"/>
        <color theme="1"/>
        <sz val="10.0"/>
      </rPr>
      <t>726,3</t>
    </r>
  </si>
  <si>
    <r>
      <rPr>
        <rFont val="Arial"/>
        <color theme="1"/>
        <sz val="10.0"/>
      </rPr>
      <t>22:40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</si>
  <si>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</si>
  <si>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2,298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</si>
  <si>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</si>
  <si>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-4,8</t>
    </r>
  </si>
  <si>
    <r>
      <rPr>
        <rFont val="Arial"/>
        <color theme="1"/>
        <sz val="10.0"/>
      </rPr>
      <t>726,3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</si>
  <si>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</si>
  <si>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</si>
  <si>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2,3092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</si>
  <si>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</si>
  <si>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</si>
  <si>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726,0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</si>
  <si>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</si>
  <si>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</si>
  <si>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2,1179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</si>
  <si>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</si>
  <si>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-6,8</t>
    </r>
  </si>
  <si>
    <r>
      <rPr>
        <rFont val="Arial"/>
        <color theme="1"/>
        <sz val="10.0"/>
      </rPr>
      <t>725,8</t>
    </r>
  </si>
  <si>
    <r>
      <rPr>
        <rFont val="Arial"/>
        <color theme="1"/>
        <sz val="10.0"/>
      </rPr>
      <t>Взвещенные частицы РМ-2,5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</si>
  <si>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</si>
  <si>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</si>
  <si>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2,1033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</si>
  <si>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</si>
  <si>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-3,4</t>
    </r>
  </si>
  <si>
    <r>
      <rPr>
        <rFont val="Arial"/>
        <color theme="1"/>
        <sz val="10.0"/>
      </rPr>
      <t>720,1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</si>
  <si>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</si>
  <si>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</si>
  <si>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1,7449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</si>
  <si>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</si>
  <si>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-3,6</t>
    </r>
  </si>
  <si>
    <r>
      <rPr>
        <rFont val="Arial"/>
        <color theme="1"/>
        <sz val="10.0"/>
      </rPr>
      <t>720,0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</si>
  <si>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</si>
  <si>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</si>
  <si>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2,0744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</si>
  <si>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</si>
  <si>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-3,7</t>
    </r>
  </si>
  <si>
    <r>
      <rPr>
        <rFont val="Arial"/>
        <color theme="1"/>
        <sz val="10.0"/>
      </rPr>
      <t>720,1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</si>
  <si>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</si>
  <si>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</si>
  <si>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1,8945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</si>
  <si>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</si>
  <si>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-3,6</t>
    </r>
  </si>
  <si>
    <r>
      <rPr>
        <rFont val="Arial"/>
        <color theme="1"/>
        <sz val="10.0"/>
      </rPr>
      <t>720,1</t>
    </r>
  </si>
  <si>
    <r>
      <rPr>
        <rFont val="Arial"/>
        <color theme="1"/>
        <sz val="10.0"/>
      </rPr>
      <t>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</si>
  <si>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</si>
  <si>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1,8741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</si>
  <si>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</si>
  <si>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-3,7</t>
    </r>
  </si>
  <si>
    <r>
      <rPr>
        <rFont val="Arial"/>
        <color theme="1"/>
        <sz val="10.0"/>
      </rPr>
      <t>720,1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</si>
  <si>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</si>
  <si>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</si>
  <si>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1,6074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</si>
  <si>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</si>
  <si>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</si>
  <si>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719,9</t>
    </r>
  </si>
  <si>
    <r>
      <rPr>
        <rFont val="Arial"/>
        <color theme="1"/>
        <sz val="10.0"/>
      </rPr>
      <t>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</si>
  <si>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</si>
  <si>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1,6677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</si>
  <si>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</si>
  <si>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-4,1</t>
    </r>
  </si>
  <si>
    <r>
      <rPr>
        <rFont val="Arial"/>
        <color theme="1"/>
        <sz val="10.0"/>
      </rPr>
      <t>719,9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</si>
  <si>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</si>
  <si>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</si>
  <si>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1,6161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</si>
  <si>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</si>
  <si>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-4,1</t>
    </r>
  </si>
  <si>
    <r>
      <rPr>
        <rFont val="Arial"/>
        <color theme="1"/>
        <sz val="10.0"/>
      </rPr>
      <t>719,9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</si>
  <si>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</si>
  <si>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</si>
  <si>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1,9206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</si>
  <si>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</si>
  <si>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-1,2</t>
    </r>
  </si>
  <si>
    <r>
      <rPr>
        <rFont val="Arial"/>
        <color theme="1"/>
        <sz val="10.0"/>
      </rPr>
      <t>717,6</t>
    </r>
  </si>
  <si>
    <r>
      <rPr>
        <rFont val="Arial"/>
        <color theme="1"/>
        <sz val="10.0"/>
      </rPr>
      <t>4:40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</si>
  <si>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</si>
  <si>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1,7165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</si>
  <si>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</si>
  <si>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0,6</t>
    </r>
  </si>
  <si>
    <r>
      <rPr>
        <rFont val="Arial"/>
        <color theme="1"/>
        <sz val="10.0"/>
      </rPr>
      <t>721,5</t>
    </r>
  </si>
  <si>
    <r>
      <rPr>
        <rFont val="Arial"/>
        <color theme="1"/>
        <sz val="10.0"/>
      </rPr>
      <t>5:20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</si>
  <si>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</si>
  <si>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1,6283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</si>
  <si>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</si>
  <si>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</si>
  <si>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721,3</t>
    </r>
  </si>
  <si>
    <r>
      <rPr>
        <rFont val="Arial"/>
        <color theme="1"/>
        <sz val="10.0"/>
      </rPr>
      <t>22:20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</si>
  <si>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</si>
  <si>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1,754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</si>
  <si>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</si>
  <si>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9,0</t>
    </r>
  </si>
  <si>
    <r>
      <rPr>
        <rFont val="Arial"/>
        <color theme="1"/>
        <sz val="10.0"/>
      </rPr>
      <t>729,3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</si>
  <si>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</si>
  <si>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</si>
  <si>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1,9335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</si>
  <si>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</si>
  <si>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8,0</t>
    </r>
  </si>
  <si>
    <r>
      <rPr>
        <rFont val="Arial"/>
        <color theme="1"/>
        <sz val="10.0"/>
      </rPr>
      <t>729,2</t>
    </r>
  </si>
  <si>
    <r>
      <rPr>
        <rFont val="Arial"/>
        <color theme="1"/>
        <sz val="10.0"/>
      </rPr>
      <t>20:20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</si>
  <si>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</si>
  <si>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1,7426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</si>
  <si>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</si>
  <si>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727,0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</si>
  <si>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</si>
  <si>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</si>
  <si>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1,675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</si>
  <si>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</si>
  <si>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-1,0</t>
    </r>
  </si>
  <si>
    <r>
      <rPr>
        <rFont val="Arial"/>
        <color theme="1"/>
        <sz val="10.0"/>
      </rPr>
      <t>724,4</t>
    </r>
  </si>
  <si>
    <r>
      <rPr>
        <rFont val="Arial"/>
        <color theme="1"/>
        <sz val="10.0"/>
      </rPr>
      <t>20:00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</si>
  <si>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</si>
  <si>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2,1483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</si>
  <si>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</si>
  <si>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7,0</t>
    </r>
  </si>
  <si>
    <r>
      <rPr>
        <rFont val="Arial"/>
        <color theme="1"/>
        <sz val="10.0"/>
      </rPr>
      <t>721,0</t>
    </r>
  </si>
  <si>
    <r>
      <rPr>
        <rFont val="Arial"/>
        <color theme="1"/>
        <sz val="10.0"/>
      </rPr>
      <t>20:20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</si>
  <si>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</si>
  <si>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2,0778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</si>
  <si>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</si>
  <si>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</si>
  <si>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720,9</t>
    </r>
  </si>
  <si>
    <r>
      <rPr>
        <rFont val="Arial"/>
        <color theme="1"/>
        <sz val="10.0"/>
      </rPr>
      <t>20:40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</si>
  <si>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</si>
  <si>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1,6932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</si>
  <si>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</si>
  <si>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6,0</t>
    </r>
  </si>
  <si>
    <r>
      <rPr>
        <rFont val="Arial"/>
        <color theme="1"/>
        <sz val="10.0"/>
      </rPr>
      <t>720,9</t>
    </r>
  </si>
  <si>
    <r>
      <rPr>
        <rFont val="Arial"/>
        <color theme="1"/>
        <sz val="10.0"/>
      </rPr>
      <t>21:00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</si>
  <si>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</si>
  <si>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1,694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</si>
  <si>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</si>
  <si>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5,0</t>
    </r>
  </si>
  <si>
    <r>
      <rPr>
        <rFont val="Arial"/>
        <color theme="1"/>
        <sz val="10.0"/>
      </rPr>
      <t>720,8</t>
    </r>
  </si>
  <si>
    <r>
      <rPr>
        <rFont val="Arial"/>
        <color theme="1"/>
        <sz val="10.0"/>
      </rPr>
      <t>21:20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</si>
  <si>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</si>
  <si>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2,2113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</si>
  <si>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</si>
  <si>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</si>
  <si>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720,6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</si>
  <si>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</si>
  <si>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</si>
  <si>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2,4495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</si>
  <si>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</si>
  <si>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720,5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</si>
  <si>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</si>
  <si>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</si>
  <si>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2,1277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</si>
  <si>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</si>
  <si>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720,3</t>
    </r>
  </si>
  <si>
    <r>
      <rPr>
        <rFont val="Arial"/>
        <color theme="1"/>
        <sz val="10.0"/>
      </rPr>
      <t>22:20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</si>
  <si>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</si>
  <si>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1,8005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</si>
  <si>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</si>
  <si>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4,0</t>
    </r>
  </si>
  <si>
    <r>
      <rPr>
        <rFont val="Arial"/>
        <color theme="1"/>
        <sz val="10.0"/>
      </rPr>
      <t>720,3</t>
    </r>
  </si>
  <si>
    <r>
      <rPr>
        <rFont val="Arial"/>
        <color theme="1"/>
        <sz val="10.0"/>
      </rPr>
      <t>22:40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</si>
  <si>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</si>
  <si>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1,6437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</si>
  <si>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</si>
  <si>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720,2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</si>
  <si>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</si>
  <si>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</si>
  <si>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1,6602</t>
    </r>
  </si>
  <si>
    <r>
      <rPr>
        <rFont val="Arial"/>
        <color theme="1"/>
        <sz val="10.0"/>
      </rPr>
      <t>3,0</t>
    </r>
  </si>
  <si>
    <r>
      <rPr>
        <rFont val="Arial"/>
        <color theme="1"/>
        <sz val="10.0"/>
      </rPr>
      <t>719,9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</si>
  <si>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</si>
  <si>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</si>
  <si>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</si>
  <si>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1,8957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</si>
  <si>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</si>
  <si>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</si>
  <si>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720,8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</si>
  <si>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</si>
  <si>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</si>
  <si>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1,8906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</si>
  <si>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</si>
  <si>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</si>
  <si>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720,6</t>
    </r>
  </si>
  <si>
    <t>Взвещенные частицы РМ 2,6</t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</si>
  <si>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</si>
  <si>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</si>
  <si>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1,7094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</si>
  <si>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</si>
  <si>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</si>
  <si>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720,5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</si>
  <si>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</si>
  <si>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</si>
  <si>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1,8433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</si>
  <si>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</si>
  <si>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</si>
  <si>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720,4</t>
    </r>
  </si>
  <si>
    <t>Взвещенные частицы РМ 2,7</t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</si>
  <si>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</si>
  <si>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</si>
  <si>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2,5761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</si>
  <si>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</si>
  <si>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</si>
  <si>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720,2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</si>
  <si>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</si>
  <si>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</si>
  <si>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1,6576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</si>
  <si>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</si>
  <si>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</si>
  <si>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720,0</t>
    </r>
  </si>
  <si>
    <t>Взвещенные частицы РМ 2,8</t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</si>
  <si>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</si>
  <si>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</si>
  <si>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1,6463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</si>
  <si>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</si>
  <si>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</si>
  <si>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720,0</t>
    </r>
  </si>
  <si>
    <r>
      <rPr>
        <rFont val="Arial"/>
        <color theme="1"/>
        <sz val="10.0"/>
      </rPr>
      <t>8:00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</si>
  <si>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</si>
  <si>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1,6039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</si>
  <si>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</si>
  <si>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</si>
  <si>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721,6</t>
    </r>
  </si>
  <si>
    <t>Взвещенные частицы РМ 2,9</t>
  </si>
  <si>
    <r>
      <rPr>
        <rFont val="Arial"/>
        <color theme="1"/>
        <sz val="10.0"/>
      </rPr>
      <t>8:20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</si>
  <si>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</si>
  <si>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1,9283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</si>
  <si>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</si>
  <si>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</si>
  <si>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721,6</t>
    </r>
  </si>
  <si>
    <r>
      <rPr>
        <rFont val="Arial"/>
        <color theme="1"/>
        <sz val="10.0"/>
      </rPr>
      <t>9:40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</si>
  <si>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</si>
  <si>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2,0394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</si>
  <si>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</si>
  <si>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</si>
  <si>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722,0</t>
    </r>
  </si>
  <si>
    <t>Взвещенные частицы РМ 2,10</t>
  </si>
  <si>
    <r>
      <rPr>
        <rFont val="Arial"/>
        <color theme="1"/>
        <sz val="10.0"/>
      </rPr>
      <t>10:00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</si>
  <si>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</si>
  <si>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1,9923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</si>
  <si>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</si>
  <si>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</si>
  <si>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722,0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</si>
  <si>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</si>
  <si>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</si>
  <si>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</si>
  <si>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2,2301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</si>
  <si>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</si>
  <si>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</si>
  <si>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</si>
  <si>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</si>
  <si>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</si>
  <si>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</si>
  <si>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2,4954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</si>
  <si>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</si>
  <si>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</si>
  <si>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722,3</t>
    </r>
  </si>
  <si>
    <t>Взвещенные частицы РМ 2,5</t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</si>
  <si>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</si>
  <si>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</si>
  <si>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2,909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</si>
  <si>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</si>
  <si>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</si>
  <si>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722,5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</si>
  <si>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</si>
  <si>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</si>
  <si>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3,1086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</si>
  <si>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</si>
  <si>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</si>
  <si>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</si>
  <si>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</si>
  <si>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</si>
  <si>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3,1732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</si>
  <si>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</si>
  <si>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</si>
  <si>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</si>
  <si>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</si>
  <si>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</si>
  <si>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2,5581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</si>
  <si>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</si>
  <si>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</si>
  <si>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722,3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</si>
  <si>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</si>
  <si>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</si>
  <si>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1,7813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</si>
  <si>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</si>
  <si>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</si>
  <si>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</si>
  <si>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</si>
  <si>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</si>
  <si>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2,0773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</si>
  <si>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</si>
  <si>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</si>
  <si>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</si>
  <si>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</si>
  <si>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</si>
  <si>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2,3835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</si>
  <si>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</si>
  <si>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</si>
  <si>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</si>
  <si>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</si>
  <si>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</si>
  <si>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2,0682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</si>
  <si>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</si>
  <si>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</si>
  <si>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</si>
  <si>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</si>
  <si>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</si>
  <si>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1,7159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</si>
  <si>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</si>
  <si>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</si>
  <si>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</si>
  <si>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</si>
  <si>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</si>
  <si>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2,4866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</si>
  <si>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</si>
  <si>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</si>
  <si>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722,3</t>
    </r>
  </si>
  <si>
    <r>
      <rPr>
        <rFont val="Arial"/>
        <color theme="1"/>
        <sz val="10.0"/>
      </rPr>
      <t>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</si>
  <si>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</si>
  <si>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2,6935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</si>
  <si>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</si>
  <si>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</si>
  <si>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</si>
  <si>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4:00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</si>
  <si>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</si>
  <si>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2,2407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</si>
  <si>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</si>
  <si>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</si>
  <si>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</si>
  <si>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4:20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</si>
  <si>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</si>
  <si>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1,6682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</si>
  <si>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</si>
  <si>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-10,0</t>
    </r>
  </si>
  <si>
    <r>
      <rPr>
        <rFont val="Arial"/>
        <color theme="1"/>
        <sz val="10.0"/>
      </rPr>
      <t>722,1</t>
    </r>
  </si>
  <si>
    <r>
      <rPr>
        <rFont val="Arial"/>
        <color theme="1"/>
        <sz val="10.0"/>
      </rPr>
      <t>9:20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</si>
  <si>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</si>
  <si>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2,2775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</si>
  <si>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</si>
  <si>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</si>
  <si>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</si>
  <si>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9:40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</si>
  <si>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</si>
  <si>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2,2298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</si>
  <si>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</si>
  <si>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</si>
  <si>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</si>
  <si>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Взвещенные частицы РМ 10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</si>
  <si>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</si>
  <si>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</si>
  <si>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3,1105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</si>
  <si>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</si>
  <si>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</si>
  <si>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</si>
  <si>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Взвещенные частицы РМ 10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</si>
  <si>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</si>
  <si>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</si>
  <si>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3,1785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</si>
  <si>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</si>
  <si>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</si>
  <si>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</si>
  <si>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</si>
  <si>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</si>
  <si>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</si>
  <si>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1,6263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</si>
  <si>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</si>
  <si>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</si>
  <si>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720,3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</si>
  <si>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</si>
  <si>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</si>
  <si>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</si>
  <si>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2,1286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</si>
  <si>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</si>
  <si>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</si>
  <si>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720,3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</si>
  <si>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</si>
  <si>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</si>
  <si>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1,8052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</si>
  <si>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</si>
  <si>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</si>
  <si>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720,2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</si>
  <si>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</si>
  <si>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</si>
  <si>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2,1347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</si>
  <si>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</si>
  <si>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-5,0</t>
    </r>
  </si>
  <si>
    <r>
      <rPr>
        <rFont val="Arial"/>
        <color theme="1"/>
        <sz val="10.0"/>
      </rPr>
      <t>720,0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</si>
  <si>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</si>
  <si>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</si>
  <si>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2,3905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</si>
  <si>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</si>
  <si>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-5,0</t>
    </r>
  </si>
  <si>
    <r>
      <rPr>
        <rFont val="Arial"/>
        <color theme="1"/>
        <sz val="10.0"/>
      </rPr>
      <t>720,0</t>
    </r>
  </si>
  <si>
    <r>
      <rPr>
        <rFont val="Arial"/>
        <color theme="1"/>
        <sz val="10.0"/>
      </rPr>
      <t>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</si>
  <si>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</si>
  <si>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1,7799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</si>
  <si>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</si>
  <si>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</si>
  <si>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719,8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</si>
  <si>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</si>
  <si>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</si>
  <si>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1,9175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</si>
  <si>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</si>
  <si>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-5,0</t>
    </r>
  </si>
  <si>
    <r>
      <rPr>
        <rFont val="Arial"/>
        <color theme="1"/>
        <sz val="10.0"/>
      </rPr>
      <t>719,3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</si>
  <si>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</si>
  <si>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</si>
  <si>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2,3395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</si>
  <si>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</si>
  <si>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</si>
  <si>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719,2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</si>
  <si>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</si>
  <si>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</si>
  <si>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2,3278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</si>
  <si>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</si>
  <si>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</si>
  <si>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719,2</t>
    </r>
  </si>
  <si>
    <r>
      <rPr>
        <rFont val="Arial"/>
        <color theme="1"/>
        <sz val="10.0"/>
      </rPr>
      <t>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</si>
  <si>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</si>
  <si>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1,9849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</si>
  <si>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</si>
  <si>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</si>
  <si>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719,1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</si>
  <si>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</si>
  <si>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</si>
  <si>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1,725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</si>
  <si>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</si>
  <si>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</si>
  <si>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719,0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</si>
  <si>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</si>
  <si>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</si>
  <si>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</si>
  <si>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1,8885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</si>
  <si>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</si>
  <si>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</si>
  <si>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</si>
  <si>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735,5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</si>
  <si>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</si>
  <si>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19:00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</si>
  <si>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</si>
  <si>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1,6848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</si>
  <si>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</si>
  <si>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</si>
  <si>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738,6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</si>
  <si>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</si>
  <si>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20:40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</si>
  <si>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</si>
  <si>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1,6763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</si>
  <si>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</si>
  <si>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-4,0</t>
    </r>
  </si>
  <si>
    <r>
      <rPr>
        <rFont val="Arial"/>
        <color theme="1"/>
        <sz val="10.0"/>
      </rPr>
      <t>723,2</t>
    </r>
  </si>
  <si>
    <r>
      <rPr>
        <rFont val="Arial"/>
        <color theme="1"/>
        <sz val="10.0"/>
      </rPr>
      <t>21:00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</si>
  <si>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</si>
  <si>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2,0415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</si>
  <si>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</si>
  <si>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-5,0</t>
    </r>
  </si>
  <si>
    <r>
      <rPr>
        <rFont val="Arial"/>
        <color theme="1"/>
        <sz val="10.0"/>
      </rPr>
      <t>723,2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</si>
  <si>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</si>
  <si>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</si>
  <si>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2,302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</si>
  <si>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</si>
  <si>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-6,0</t>
    </r>
  </si>
  <si>
    <r>
      <rPr>
        <rFont val="Arial"/>
        <color theme="1"/>
        <sz val="10.0"/>
      </rPr>
      <t>722,4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</si>
  <si>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</si>
  <si>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</si>
  <si>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2,1865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</si>
  <si>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</si>
  <si>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</si>
  <si>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722,3</t>
    </r>
  </si>
  <si>
    <r>
      <rPr>
        <rFont val="Arial"/>
        <color theme="1"/>
        <sz val="10.0"/>
      </rPr>
      <t>0:00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</si>
  <si>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</si>
  <si>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2,4415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</si>
  <si>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</si>
  <si>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</si>
  <si>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722,2</t>
    </r>
  </si>
  <si>
    <r>
      <rPr>
        <rFont val="Arial"/>
        <color theme="1"/>
        <sz val="10.0"/>
      </rPr>
      <t>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</si>
  <si>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</si>
  <si>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1,6596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</si>
  <si>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</si>
  <si>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</si>
  <si>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721,8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</si>
  <si>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</si>
  <si>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</si>
  <si>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2,1877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</si>
  <si>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</si>
  <si>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</si>
  <si>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721,6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</si>
  <si>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</si>
  <si>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</si>
  <si>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1,836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</si>
  <si>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</si>
  <si>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</si>
  <si>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721,4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</si>
  <si>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</si>
  <si>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</si>
  <si>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1,982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</si>
  <si>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</si>
  <si>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-7,0</t>
    </r>
  </si>
  <si>
    <r>
      <rPr>
        <rFont val="Arial"/>
        <color theme="1"/>
        <sz val="10.0"/>
      </rPr>
      <t>721,4</t>
    </r>
  </si>
  <si>
    <r>
      <rPr>
        <rFont val="Arial"/>
        <color theme="1"/>
        <sz val="10.0"/>
      </rPr>
      <t>9:00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</si>
  <si>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</si>
  <si>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1,6926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</si>
  <si>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</si>
  <si>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</si>
  <si>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719,7</t>
    </r>
  </si>
  <si>
    <r>
      <rPr>
        <rFont val="Arial"/>
        <color theme="1"/>
        <sz val="10.0"/>
      </rPr>
      <t>9:20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</si>
  <si>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</si>
  <si>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2,0331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</si>
  <si>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</si>
  <si>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-9,0</t>
    </r>
  </si>
  <si>
    <r>
      <rPr>
        <rFont val="Arial"/>
        <color theme="1"/>
        <sz val="10.0"/>
      </rPr>
      <t>719,6</t>
    </r>
  </si>
  <si>
    <r>
      <rPr>
        <rFont val="Arial"/>
        <color theme="1"/>
        <sz val="10.0"/>
      </rPr>
      <t>9:40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</si>
  <si>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</si>
  <si>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1,6036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</si>
  <si>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</si>
  <si>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-8,0</t>
    </r>
  </si>
  <si>
    <r>
      <rPr>
        <rFont val="Arial"/>
        <color theme="1"/>
        <sz val="10.0"/>
      </rPr>
      <t>719,6</t>
    </r>
  </si>
  <si>
    <r>
      <rPr>
        <rFont val="Arial"/>
        <color theme="1"/>
        <sz val="10.0"/>
      </rPr>
      <t>Взвещенные частицы РМ 2,5</t>
    </r>
  </si>
  <si>
    <r>
      <rPr>
        <rFont val="Arial"/>
        <color theme="1"/>
        <sz val="10.0"/>
      </rPr>
      <t>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</si>
  <si>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</si>
  <si>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1,6206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</si>
  <si>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</si>
  <si>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-3,0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</si>
  <si>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</si>
  <si>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</si>
  <si>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</si>
  <si>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1,7909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</si>
  <si>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</si>
  <si>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-3,0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</si>
  <si>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</si>
  <si>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</si>
  <si>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</si>
  <si>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1,6027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</si>
  <si>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</si>
  <si>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-3,0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</si>
  <si>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</si>
  <si>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</si>
  <si>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</si>
  <si>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1,6604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</si>
  <si>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</si>
  <si>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</si>
  <si>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716,6</t>
    </r>
  </si>
  <si>
    <r>
      <rPr>
        <rFont val="Arial"/>
        <color theme="1"/>
        <sz val="10.0"/>
      </rPr>
      <t>2:20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</si>
  <si>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</si>
  <si>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1,6447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</si>
  <si>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</si>
  <si>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</si>
  <si>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</si>
  <si>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2:40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</si>
  <si>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</si>
  <si>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1,6139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</si>
  <si>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</si>
  <si>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</si>
  <si>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716,5</t>
    </r>
  </si>
  <si>
    <r>
      <rPr>
        <rFont val="Arial"/>
        <color theme="1"/>
        <sz val="10.0"/>
      </rPr>
      <t>3:00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</si>
  <si>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</si>
  <si>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1,886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</si>
  <si>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</si>
  <si>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</si>
  <si>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716,4</t>
    </r>
  </si>
  <si>
    <r>
      <rPr>
        <rFont val="Arial"/>
        <color theme="1"/>
        <sz val="10.0"/>
      </rPr>
      <t>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</si>
  <si>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</si>
  <si>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1,7969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</si>
  <si>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</si>
  <si>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-2,0</t>
    </r>
  </si>
  <si>
    <r>
      <rPr>
        <rFont val="Arial"/>
        <color theme="1"/>
        <sz val="10.0"/>
      </rPr>
      <t>716,4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</si>
  <si>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</si>
  <si>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20:20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</si>
  <si>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</si>
  <si>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1,6952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</si>
  <si>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</si>
  <si>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-10,6</t>
    </r>
  </si>
  <si>
    <r>
      <rPr>
        <rFont val="Arial"/>
        <color theme="1"/>
        <sz val="10.0"/>
      </rPr>
      <t>728,8</t>
    </r>
  </si>
  <si>
    <r>
      <rPr>
        <rFont val="Arial"/>
        <color theme="1"/>
        <sz val="10.0"/>
      </rPr>
      <t>20:40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</si>
  <si>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</si>
  <si>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1,6664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</si>
  <si>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</si>
  <si>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-10,7</t>
    </r>
  </si>
  <si>
    <r>
      <rPr>
        <rFont val="Arial"/>
        <color theme="1"/>
        <sz val="10.0"/>
      </rPr>
      <t>728,8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</si>
  <si>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</si>
  <si>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21:00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</si>
  <si>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</si>
  <si>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1,7722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</si>
  <si>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</si>
  <si>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-11,0</t>
    </r>
  </si>
  <si>
    <r>
      <rPr>
        <rFont val="Arial"/>
        <color theme="1"/>
        <sz val="10.0"/>
      </rPr>
      <t>728,9</t>
    </r>
  </si>
  <si>
    <r>
      <rPr>
        <rFont val="Arial"/>
        <color theme="1"/>
        <sz val="10.0"/>
      </rPr>
      <t>21:20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</si>
  <si>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</si>
  <si>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1,8441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</si>
  <si>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</si>
  <si>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-11,3</t>
    </r>
  </si>
  <si>
    <r>
      <rPr>
        <rFont val="Arial"/>
        <color theme="1"/>
        <sz val="10.0"/>
      </rPr>
      <t>728,9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</si>
  <si>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</si>
  <si>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21:40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</si>
  <si>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</si>
  <si>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1,8744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</si>
  <si>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</si>
  <si>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-11,3</t>
    </r>
  </si>
  <si>
    <r>
      <rPr>
        <rFont val="Arial"/>
        <color theme="1"/>
        <sz val="10.0"/>
      </rPr>
      <t>728,9</t>
    </r>
  </si>
  <si>
    <r>
      <rPr>
        <rFont val="Arial"/>
        <color theme="1"/>
        <sz val="10.0"/>
      </rPr>
      <t>22:00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</si>
  <si>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</si>
  <si>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2,1061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</si>
  <si>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</si>
  <si>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-11,7</t>
    </r>
  </si>
  <si>
    <r>
      <rPr>
        <rFont val="Arial"/>
        <color theme="1"/>
        <sz val="10.0"/>
      </rPr>
      <t>729,0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</si>
  <si>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</si>
  <si>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23:20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</si>
  <si>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</si>
  <si>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2,0307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</si>
  <si>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</si>
  <si>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-12,9</t>
    </r>
  </si>
  <si>
    <r>
      <rPr>
        <rFont val="Arial"/>
        <color theme="1"/>
        <sz val="10.0"/>
      </rPr>
      <t>729,2</t>
    </r>
  </si>
  <si>
    <r>
      <rPr>
        <rFont val="Arial"/>
        <color theme="1"/>
        <sz val="10.0"/>
      </rPr>
      <t>23:40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</si>
  <si>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</si>
  <si>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1,6624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</si>
  <si>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</si>
  <si>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-12,8</t>
    </r>
  </si>
  <si>
    <r>
      <rPr>
        <rFont val="Arial"/>
        <color theme="1"/>
        <sz val="10.0"/>
      </rPr>
      <t>729,2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</si>
  <si>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</si>
  <si>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05:40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</si>
  <si>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</si>
  <si>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1,6565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</si>
  <si>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</si>
  <si>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-13,5</t>
    </r>
  </si>
  <si>
    <r>
      <rPr>
        <rFont val="Arial"/>
        <color theme="1"/>
        <sz val="10.0"/>
      </rPr>
      <t>729,1</t>
    </r>
  </si>
  <si>
    <r>
      <rPr>
        <rFont val="Arial"/>
        <color theme="1"/>
        <sz val="10.0"/>
      </rPr>
      <t>06:00</t>
    </r>
  </si>
  <si>
    <r>
      <rPr>
        <rFont val="Arial"/>
        <color rgb="FF000000"/>
        <sz val="10.0"/>
      </rPr>
      <t xml:space="preserve">г. Караганда ПНЗ №8 улица
</t>
    </r>
    <r>
      <rPr>
        <rFont val="Arial"/>
        <color rgb="FF000000"/>
        <sz val="10.0"/>
      </rPr>
      <t>Зелинского, 23 (Пришахтинск)</t>
    </r>
  </si>
  <si>
    <r>
      <rPr>
        <rFont val="Arial"/>
        <color theme="1"/>
        <sz val="10.0"/>
      </rPr>
      <t>1,633</t>
    </r>
  </si>
  <si>
    <r>
      <rPr>
        <rFont val="Arial"/>
        <color theme="1"/>
        <sz val="10.0"/>
      </rPr>
      <t>0,0</t>
    </r>
  </si>
  <si>
    <r>
      <rPr>
        <rFont val="Arial"/>
        <color theme="1"/>
        <sz val="10.0"/>
      </rPr>
      <t>-13,7</t>
    </r>
  </si>
  <si>
    <r>
      <rPr>
        <rFont val="Arial"/>
        <color theme="1"/>
        <sz val="10.0"/>
      </rPr>
      <t>729,1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</si>
  <si>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</si>
  <si>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</si>
  <si>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</si>
  <si>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1,7139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</si>
  <si>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</si>
  <si>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-9,1</t>
    </r>
  </si>
  <si>
    <r>
      <rPr>
        <rFont val="Arial"/>
        <color theme="1"/>
        <sz val="10.0"/>
      </rPr>
      <t>724,7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</si>
  <si>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</si>
  <si>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</si>
  <si>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</si>
  <si>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1,8886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</si>
  <si>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</si>
  <si>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-8,9</t>
    </r>
  </si>
  <si>
    <r>
      <rPr>
        <rFont val="Arial"/>
        <color theme="1"/>
        <sz val="10.0"/>
      </rPr>
      <t>724,6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</si>
  <si>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</si>
  <si>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</si>
  <si>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</si>
  <si>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2,5392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</si>
  <si>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</si>
  <si>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-8,8</t>
    </r>
  </si>
  <si>
    <r>
      <rPr>
        <rFont val="Arial"/>
        <color theme="1"/>
        <sz val="10.0"/>
      </rPr>
      <t>724,5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</si>
  <si>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</si>
  <si>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</si>
  <si>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</si>
  <si>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3,3802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</si>
  <si>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</si>
  <si>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-8,7</t>
    </r>
  </si>
  <si>
    <r>
      <rPr>
        <rFont val="Arial"/>
        <color theme="1"/>
        <sz val="10.0"/>
      </rPr>
      <t>724,5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</si>
  <si>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</si>
  <si>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</si>
  <si>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</si>
  <si>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2,2989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</si>
  <si>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</si>
  <si>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-8,5</t>
    </r>
  </si>
  <si>
    <r>
      <rPr>
        <rFont val="Arial"/>
        <color theme="1"/>
        <sz val="10.0"/>
      </rPr>
      <t>724,5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</si>
  <si>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</si>
  <si>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00:00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</si>
  <si>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</si>
  <si>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2,0019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</si>
  <si>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</si>
  <si>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-7,9</t>
    </r>
  </si>
  <si>
    <r>
      <rPr>
        <rFont val="Arial"/>
        <color theme="1"/>
        <sz val="10.0"/>
      </rPr>
      <t>724,4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</si>
  <si>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10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</si>
  <si>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</si>
  <si>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</si>
  <si>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3,3868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</si>
  <si>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</si>
  <si>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-8,7</t>
    </r>
  </si>
  <si>
    <r>
      <rPr>
        <rFont val="Arial"/>
        <color theme="1"/>
        <sz val="10.0"/>
      </rPr>
      <t>724,5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</si>
  <si>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</si>
  <si>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00:20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</si>
  <si>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</si>
  <si>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1,8352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</si>
  <si>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</si>
  <si>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-7,5</t>
    </r>
  </si>
  <si>
    <r>
      <rPr>
        <rFont val="Arial"/>
        <color theme="1"/>
        <sz val="10.0"/>
      </rPr>
      <t>724,4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</si>
  <si>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</si>
  <si>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09:00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</si>
  <si>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</si>
  <si>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1,7674</t>
    </r>
  </si>
  <si>
    <r>
      <rPr>
        <rFont val="Arial"/>
        <color theme="1"/>
        <sz val="10.0"/>
      </rPr>
      <t>0,2</t>
    </r>
  </si>
  <si>
    <r>
      <rPr>
        <rFont val="Arial"/>
        <color theme="1"/>
        <sz val="10.0"/>
      </rPr>
      <t>-24,2</t>
    </r>
  </si>
  <si>
    <r>
      <rPr>
        <rFont val="Arial"/>
        <color theme="1"/>
        <sz val="10.0"/>
      </rPr>
      <t>732,6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</si>
  <si>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</si>
  <si>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21:20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</si>
  <si>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</si>
  <si>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1,7208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</si>
  <si>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</si>
  <si>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-8,5</t>
    </r>
  </si>
  <si>
    <r>
      <rPr>
        <rFont val="Arial"/>
        <color theme="1"/>
        <sz val="10.0"/>
      </rPr>
      <t>731,2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</si>
  <si>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</si>
  <si>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21:40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</si>
  <si>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</si>
  <si>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2,7349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</si>
  <si>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</si>
  <si>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-9,3</t>
    </r>
  </si>
  <si>
    <r>
      <rPr>
        <rFont val="Arial"/>
        <color theme="1"/>
        <sz val="10.0"/>
      </rPr>
      <t>731,3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</si>
  <si>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</si>
  <si>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</si>
  <si>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</si>
  <si>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2,0817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</si>
  <si>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</si>
  <si>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-9,9</t>
    </r>
  </si>
  <si>
    <r>
      <rPr>
        <rFont val="Arial"/>
        <color theme="1"/>
        <sz val="10.0"/>
      </rPr>
      <t>731,4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</si>
  <si>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</si>
  <si>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</si>
  <si>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</si>
  <si>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2,4661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</si>
  <si>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</si>
  <si>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-10,3</t>
    </r>
  </si>
  <si>
    <r>
      <rPr>
        <rFont val="Arial"/>
        <color theme="1"/>
        <sz val="10.0"/>
      </rPr>
      <t>731,3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</si>
  <si>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</si>
  <si>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22:40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</si>
  <si>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</si>
  <si>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2,0773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</si>
  <si>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</si>
  <si>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-10,4</t>
    </r>
  </si>
  <si>
    <r>
      <rPr>
        <rFont val="Arial"/>
        <color theme="1"/>
        <sz val="10.0"/>
      </rPr>
      <t>731,4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</si>
  <si>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</si>
  <si>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</si>
  <si>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</si>
  <si>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1,6927</t>
    </r>
  </si>
  <si>
    <r>
      <rPr>
        <rFont val="Arial"/>
        <color theme="1"/>
        <sz val="10.0"/>
      </rPr>
      <t>0,1</t>
    </r>
  </si>
  <si>
    <r>
      <rPr>
        <rFont val="Arial"/>
        <color theme="1"/>
        <sz val="10.0"/>
      </rPr>
      <t>-11,0</t>
    </r>
  </si>
  <si>
    <r>
      <rPr>
        <rFont val="Arial"/>
        <color theme="1"/>
        <sz val="10.0"/>
      </rPr>
      <t>731,0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</si>
  <si>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</si>
  <si>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23:20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</si>
  <si>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</si>
  <si>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2,2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</si>
  <si>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</si>
  <si>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-15,6</t>
    </r>
  </si>
  <si>
    <r>
      <rPr>
        <rFont val="Arial"/>
        <color theme="1"/>
        <sz val="10.0"/>
      </rPr>
      <t>729,9</t>
    </r>
  </si>
  <si>
    <r>
      <rPr>
        <rFont val="Arial"/>
        <color rgb="FF000000"/>
        <sz val="10.0"/>
      </rPr>
      <t xml:space="preserve">Взвещенные частицы
</t>
    </r>
    <r>
      <rPr>
        <rFont val="Arial"/>
        <color rgb="FF000000"/>
        <sz val="10.0"/>
      </rPr>
      <t>РМ 2,5</t>
    </r>
  </si>
  <si>
    <r>
      <rPr>
        <rFont val="Arial"/>
        <color theme="1"/>
        <sz val="10.0"/>
      </rPr>
      <t>23:40</t>
    </r>
  </si>
  <si>
    <r>
      <rPr>
        <rFont val="Arial"/>
        <color theme="1"/>
        <sz val="10.0"/>
      </rPr>
      <t>ПНЗ №8 улица Зелинского, 23 (Пришахтинск)</t>
    </r>
  </si>
  <si>
    <r>
      <rPr>
        <rFont val="Arial"/>
        <color theme="1"/>
        <sz val="10.0"/>
      </rPr>
      <t>1,8723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</si>
  <si>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</si>
  <si>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-16,1</t>
    </r>
  </si>
  <si>
    <r>
      <rPr>
        <rFont val="Arial"/>
        <color theme="1"/>
        <sz val="10.0"/>
      </rPr>
      <t>729,9</t>
    </r>
  </si>
  <si>
    <t>г. Сатпаев</t>
  </si>
  <si>
    <r>
      <rPr>
        <rFont val="Arial"/>
        <color theme="1"/>
        <sz val="10.0"/>
      </rPr>
      <t>Диоксид азота</t>
    </r>
  </si>
  <si>
    <r>
      <rPr>
        <rFont val="Arial"/>
        <color theme="1"/>
        <sz val="10.0"/>
      </rPr>
      <t>19:00</t>
    </r>
  </si>
  <si>
    <r>
      <rPr>
        <rFont val="Arial"/>
        <color theme="1"/>
        <sz val="10.0"/>
      </rPr>
      <t>№ 1 (4 шағын аудан, ТП-6 аумағы)</t>
    </r>
  </si>
  <si>
    <r>
      <rPr>
        <rFont val="Arial"/>
        <color theme="1"/>
        <sz val="10.0"/>
      </rPr>
      <t>2,1729</t>
    </r>
  </si>
  <si>
    <r>
      <rPr>
        <rFont val="Arial"/>
        <color theme="1"/>
        <sz val="10.0"/>
      </rPr>
      <t>2,0</t>
    </r>
  </si>
  <si>
    <t>г. Шымкент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</si>
  <si>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</si>
  <si>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</si>
  <si>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№6</t>
    </r>
  </si>
  <si>
    <r>
      <rPr>
        <rFont val="Arial"/>
        <color theme="1"/>
        <sz val="10.0"/>
      </rPr>
      <t>0,1064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</si>
  <si>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</si>
  <si>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21,8</t>
    </r>
  </si>
  <si>
    <r>
      <rPr>
        <rFont val="Arial"/>
        <color theme="1"/>
        <sz val="10.0"/>
      </rPr>
      <t>937,4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</si>
  <si>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</si>
  <si>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2:20</t>
    </r>
  </si>
  <si>
    <r>
      <rPr>
        <rFont val="Arial"/>
        <color theme="1"/>
        <sz val="10.0"/>
      </rPr>
      <t>№6</t>
    </r>
  </si>
  <si>
    <r>
      <rPr>
        <rFont val="Arial"/>
        <color theme="1"/>
        <sz val="10.0"/>
      </rPr>
      <t>0,2827</t>
    </r>
  </si>
  <si>
    <t>1,1</t>
  </si>
  <si>
    <t>21,9</t>
  </si>
  <si>
    <t>937,5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</si>
  <si>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</si>
  <si>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6:20</t>
    </r>
  </si>
  <si>
    <t>№6</t>
  </si>
  <si>
    <r>
      <rPr>
        <rFont val="Arial"/>
        <color theme="1"/>
        <sz val="10.0"/>
      </rPr>
      <t>0,383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</si>
  <si>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</si>
  <si>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23,5</t>
    </r>
  </si>
  <si>
    <r>
      <rPr>
        <rFont val="Arial"/>
        <color theme="1"/>
        <sz val="10.0"/>
      </rPr>
      <t>938,1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</si>
  <si>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</si>
  <si>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6:40</t>
    </r>
  </si>
  <si>
    <r>
      <rPr>
        <rFont val="Arial"/>
        <color theme="1"/>
        <sz val="10.0"/>
      </rPr>
      <t>0,3937</t>
    </r>
  </si>
  <si>
    <t>938,2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</si>
  <si>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</si>
  <si>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</si>
  <si>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0,3025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</si>
  <si>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</si>
  <si>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27,2</t>
    </r>
  </si>
  <si>
    <r>
      <rPr>
        <rFont val="Arial"/>
        <color theme="1"/>
        <sz val="10.0"/>
      </rPr>
      <t>938,8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</si>
  <si>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</si>
  <si>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</si>
  <si>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0,2554</t>
    </r>
  </si>
  <si>
    <t>27,3</t>
  </si>
  <si>
    <t>938,9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</si>
  <si>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</si>
  <si>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7:40</t>
    </r>
  </si>
  <si>
    <r>
      <rPr>
        <rFont val="Arial"/>
        <color theme="1"/>
        <sz val="10.0"/>
      </rPr>
      <t>0,193</t>
    </r>
  </si>
  <si>
    <t>1,2</t>
  </si>
  <si>
    <t>27,4</t>
  </si>
  <si>
    <t>938,10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</si>
  <si>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</si>
  <si>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8:00</t>
    </r>
  </si>
  <si>
    <r>
      <rPr>
        <rFont val="Arial"/>
        <color theme="1"/>
        <sz val="10.0"/>
      </rPr>
      <t>0,1915</t>
    </r>
  </si>
  <si>
    <t>1,3</t>
  </si>
  <si>
    <t>27,5</t>
  </si>
  <si>
    <t>938,11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</si>
  <si>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</si>
  <si>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8:20</t>
    </r>
  </si>
  <si>
    <r>
      <rPr>
        <rFont val="Arial"/>
        <color theme="1"/>
        <sz val="10.0"/>
      </rPr>
      <t>0,1338</t>
    </r>
  </si>
  <si>
    <t>1,4</t>
  </si>
  <si>
    <t>27,6</t>
  </si>
  <si>
    <t>938,12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</si>
  <si>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</si>
  <si>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8:40</t>
    </r>
  </si>
  <si>
    <r>
      <rPr>
        <rFont val="Arial"/>
        <color theme="1"/>
        <sz val="10.0"/>
      </rPr>
      <t>0,1186</t>
    </r>
  </si>
  <si>
    <t>1,5</t>
  </si>
  <si>
    <t>27,7</t>
  </si>
  <si>
    <t>938,13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</si>
  <si>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</si>
  <si>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9:00</t>
    </r>
  </si>
  <si>
    <r>
      <rPr>
        <rFont val="Arial"/>
        <color theme="1"/>
        <sz val="10.0"/>
      </rPr>
      <t>0,1115</t>
    </r>
  </si>
  <si>
    <t>1,6</t>
  </si>
  <si>
    <t>27,8</t>
  </si>
  <si>
    <t>938,14</t>
  </si>
  <si>
    <t>Экстремально высокое загрязнение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</si>
  <si>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</si>
  <si>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7:00</t>
    </r>
  </si>
  <si>
    <r>
      <rPr>
        <rFont val="Arial"/>
        <color theme="1"/>
        <sz val="10.0"/>
      </rPr>
      <t>№ 111 Жилгородок (ул. Заполярная, дом Нефтяников</t>
    </r>
  </si>
  <si>
    <r>
      <rPr>
        <rFont val="Arial"/>
        <color theme="1"/>
        <sz val="10.0"/>
      </rPr>
      <t>0,3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</si>
  <si>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</si>
  <si>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</si>
  <si>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111 Жилгородок (ул. Заполярная, дом Нефтяников</t>
    </r>
  </si>
  <si>
    <r>
      <rPr>
        <rFont val="Arial"/>
        <color theme="1"/>
        <sz val="10.0"/>
      </rPr>
      <t>0,5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</si>
  <si>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</si>
  <si>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7:20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</si>
  <si>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</si>
  <si>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</si>
  <si>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</si>
  <si>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111 Жилгородок (ул. Заполярная, дом Нефтяников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</si>
  <si>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</si>
  <si>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</si>
  <si>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</si>
  <si>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111 Жилгородок (ул. Заполярная, дом Нефтяников</t>
    </r>
  </si>
  <si>
    <r>
      <rPr>
        <rFont val="Arial"/>
        <color theme="1"/>
        <sz val="10.0"/>
      </rPr>
      <t>0,4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</si>
  <si>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</si>
  <si>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1:40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</si>
  <si>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</si>
  <si>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</si>
  <si>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</si>
  <si>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</si>
  <si>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</si>
  <si>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</si>
  <si>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</si>
  <si>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</si>
  <si>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</si>
  <si>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</si>
  <si>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</si>
  <si>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</si>
  <si>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</si>
  <si>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</si>
  <si>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</si>
  <si>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</si>
  <si>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</si>
  <si>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</si>
  <si>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</si>
  <si>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</si>
  <si>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</si>
  <si>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</si>
  <si>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</si>
  <si>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</si>
  <si>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</si>
  <si>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</si>
  <si>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</si>
  <si>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№ 113 Авангард (парк Победы)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</si>
  <si>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</si>
  <si>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2:40</t>
    </r>
  </si>
  <si>
    <r>
      <rPr>
        <rFont val="Arial"/>
        <color theme="1"/>
        <sz val="10.0"/>
      </rPr>
      <t>№6</t>
    </r>
  </si>
  <si>
    <r>
      <rPr>
        <rFont val="Arial"/>
        <color theme="1"/>
        <sz val="10.0"/>
      </rPr>
      <t>0,4286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</si>
  <si>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</si>
  <si>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21,8</t>
    </r>
  </si>
  <si>
    <r>
      <rPr>
        <rFont val="Arial"/>
        <color theme="1"/>
        <sz val="10.0"/>
      </rPr>
      <t>937,4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</si>
  <si>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</si>
  <si>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3:00</t>
    </r>
  </si>
  <si>
    <r>
      <rPr>
        <rFont val="Arial"/>
        <color theme="1"/>
        <sz val="10.0"/>
      </rPr>
      <t>№6</t>
    </r>
  </si>
  <si>
    <r>
      <rPr>
        <rFont val="Arial"/>
        <color theme="1"/>
        <sz val="10.0"/>
      </rPr>
      <t>1,0807</t>
    </r>
  </si>
  <si>
    <r>
      <rPr>
        <rFont val="Arial"/>
        <color theme="1"/>
        <sz val="10.0"/>
      </rPr>
      <t>1,0</t>
    </r>
  </si>
  <si>
    <r>
      <rPr>
        <rFont val="Arial"/>
        <color theme="1"/>
        <sz val="10.0"/>
      </rPr>
      <t>21,8</t>
    </r>
  </si>
  <si>
    <r>
      <rPr>
        <rFont val="Arial"/>
        <color theme="1"/>
        <sz val="10.0"/>
      </rPr>
      <t>937,4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</si>
  <si>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</si>
  <si>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3:20</t>
    </r>
  </si>
  <si>
    <r>
      <rPr>
        <rFont val="Arial"/>
        <color theme="1"/>
        <sz val="10.0"/>
      </rPr>
      <t>1,0822</t>
    </r>
  </si>
  <si>
    <t>1,0</t>
  </si>
  <si>
    <t>21,8</t>
  </si>
  <si>
    <t>937,4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</si>
  <si>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</si>
  <si>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3:40</t>
    </r>
  </si>
  <si>
    <r>
      <rPr>
        <rFont val="Arial"/>
        <color theme="1"/>
        <sz val="10.0"/>
      </rPr>
      <t>1,0214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</si>
  <si>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</si>
  <si>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4:00</t>
    </r>
  </si>
  <si>
    <r>
      <rPr>
        <rFont val="Arial"/>
        <color theme="1"/>
        <sz val="10.0"/>
      </rPr>
      <t>1,2753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</si>
  <si>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</si>
  <si>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23,5</t>
    </r>
  </si>
  <si>
    <r>
      <rPr>
        <rFont val="Arial"/>
        <color theme="1"/>
        <sz val="10.0"/>
      </rPr>
      <t>938,1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</si>
  <si>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</si>
  <si>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4:20</t>
    </r>
  </si>
  <si>
    <r>
      <rPr>
        <rFont val="Arial"/>
        <color theme="1"/>
        <sz val="10.0"/>
      </rPr>
      <t>1,4866</t>
    </r>
  </si>
  <si>
    <r>
      <rPr>
        <rFont val="Arial"/>
        <color theme="1"/>
        <sz val="10.0"/>
      </rPr>
      <t>2,0</t>
    </r>
  </si>
  <si>
    <r>
      <rPr>
        <rFont val="Arial"/>
        <color theme="1"/>
        <sz val="10.0"/>
      </rPr>
      <t>23,5</t>
    </r>
  </si>
  <si>
    <r>
      <rPr>
        <rFont val="Arial"/>
        <color theme="1"/>
        <sz val="10.0"/>
      </rPr>
      <t>938,1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</si>
  <si>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</si>
  <si>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4:40</t>
    </r>
  </si>
  <si>
    <r>
      <rPr>
        <rFont val="Arial"/>
        <color theme="1"/>
        <sz val="10.0"/>
      </rPr>
      <t>1,137</t>
    </r>
  </si>
  <si>
    <t>2,0</t>
  </si>
  <si>
    <t>23,5</t>
  </si>
  <si>
    <t>938,1</t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</si>
  <si>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</si>
  <si>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5:00</t>
    </r>
  </si>
  <si>
    <r>
      <rPr>
        <rFont val="Arial"/>
        <color theme="1"/>
        <sz val="10.0"/>
      </rPr>
      <t>0,9409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</si>
  <si>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</si>
  <si>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5:20</t>
    </r>
  </si>
  <si>
    <r>
      <rPr>
        <rFont val="Arial"/>
        <color theme="1"/>
        <sz val="10.0"/>
      </rPr>
      <t>0,7174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</si>
  <si>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</si>
  <si>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5:40</t>
    </r>
  </si>
  <si>
    <r>
      <rPr>
        <rFont val="Arial"/>
        <color theme="1"/>
        <sz val="10.0"/>
      </rPr>
      <t>0,7505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</si>
  <si>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</si>
  <si>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6:00</t>
    </r>
  </si>
  <si>
    <r>
      <rPr>
        <rFont val="Arial"/>
        <color theme="1"/>
        <sz val="10.0"/>
      </rPr>
      <t>0,5928</t>
    </r>
  </si>
  <si>
    <t>COUNTA из level_of_pollution</t>
  </si>
  <si>
    <t>MEDIAN из exceedance_factor</t>
  </si>
  <si>
    <t>MAX из exceedance_factor</t>
  </si>
  <si>
    <t>Атырауская</t>
  </si>
  <si>
    <t>Актюбинская</t>
  </si>
  <si>
    <t>Карагандинская</t>
  </si>
  <si>
    <t>Область Улытау</t>
  </si>
  <si>
    <r>
      <rPr>
        <rFont val="Arial"/>
        <color theme="1"/>
      </rPr>
      <t xml:space="preserve">Таблица показывает процентное соотношение количества взятия проб качества воздуха в регионах в 2024 году </t>
    </r>
    <r>
      <rPr>
        <rFont val="Arial"/>
        <b/>
        <color theme="1"/>
      </rPr>
      <t>(ст. B)</t>
    </r>
    <r>
      <rPr>
        <rFont val="Arial"/>
        <color theme="1"/>
      </rPr>
      <t>. Примечательно, что содержание вредных примесей в воздухе стабильно измеряется только в этих субъектах.</t>
    </r>
  </si>
  <si>
    <r>
      <rPr>
        <rFont val="Arial"/>
        <color theme="1"/>
      </rPr>
      <t xml:space="preserve">Также в ней проиллюстрировано медианное значение превышения предельной нормы концентрации вредных веществ в воздухе </t>
    </r>
    <r>
      <rPr>
        <rFont val="Arial"/>
        <b/>
        <color theme="1"/>
      </rPr>
      <t>(ст. C).</t>
    </r>
  </si>
  <si>
    <r>
      <rPr>
        <rFont val="Arial"/>
        <color theme="1"/>
      </rPr>
      <t>Помимо этого представлена информация по максимальному показателю превышения допустимой нормы</t>
    </r>
    <r>
      <rPr>
        <rFont val="Arial"/>
        <b/>
        <color theme="1"/>
      </rPr>
      <t xml:space="preserve"> (ст. D)</t>
    </r>
  </si>
  <si>
    <t>Сведения о случаях высокого загрязнения и экстремально высокого загрязнения атмосферного воздуха Республики Казахстан за 2024 год</t>
  </si>
  <si>
    <t>№</t>
  </si>
  <si>
    <t>Наименование в таблице</t>
  </si>
  <si>
    <t>Значение</t>
  </si>
  <si>
    <t>уровень загрязнения</t>
  </si>
  <si>
    <t>область</t>
  </si>
  <si>
    <t>город</t>
  </si>
  <si>
    <t>примесь</t>
  </si>
  <si>
    <t>дата загрязнения</t>
  </si>
  <si>
    <t>время измерения показателей загрязнения</t>
  </si>
  <si>
    <t>адрес, где было произведено измерение</t>
  </si>
  <si>
    <t>концентрация примеси (мг/м3)</t>
  </si>
  <si>
    <t>кратность превышения</t>
  </si>
  <si>
    <t>направление ветра в градусах</t>
  </si>
  <si>
    <t>скорость ветра</t>
  </si>
  <si>
    <t>температура в момент измерения</t>
  </si>
  <si>
    <t>атмосферное давление (мм. рт. ст)</t>
  </si>
  <si>
    <t>год</t>
  </si>
  <si>
    <t>air_index</t>
  </si>
  <si>
    <t>г. Темиртау</t>
  </si>
  <si>
    <t>г. Усть-Каменогорск</t>
  </si>
  <si>
    <t>г. Жезказган</t>
  </si>
  <si>
    <t>пос. Бурабай</t>
  </si>
  <si>
    <t>пос. Бестобе</t>
  </si>
  <si>
    <t>г. Алматы</t>
  </si>
  <si>
    <t>г. Туркестан</t>
  </si>
  <si>
    <t>г. Костанай</t>
  </si>
  <si>
    <t>г. Тараз</t>
  </si>
  <si>
    <t>г. Актау</t>
  </si>
  <si>
    <t>г. Петропавловск</t>
  </si>
  <si>
    <t>г. Семей</t>
  </si>
  <si>
    <t>г. Кызылорда</t>
  </si>
  <si>
    <t>г. Павлодар</t>
  </si>
  <si>
    <t>г. Талдыкорган</t>
  </si>
  <si>
    <t>с. Бейнеу</t>
  </si>
  <si>
    <t>г. Шу</t>
  </si>
  <si>
    <t>пос. Глубокое</t>
  </si>
  <si>
    <t>г. Жанатас</t>
  </si>
  <si>
    <t>г. Риддер</t>
  </si>
  <si>
    <t>с. Кордай</t>
  </si>
  <si>
    <t>г. Рудный</t>
  </si>
  <si>
    <t>г. Щучинск</t>
  </si>
  <si>
    <t>г. Кокшетау</t>
  </si>
  <si>
    <t>г. Балхаш</t>
  </si>
  <si>
    <t>г. Кульсары</t>
  </si>
  <si>
    <t>СКФМ Боровое</t>
  </si>
  <si>
    <t>пос. Аксу</t>
  </si>
  <si>
    <t>г. Экибастуз</t>
  </si>
  <si>
    <t>г. Степногорск</t>
  </si>
  <si>
    <t>г. Уральск</t>
  </si>
  <si>
    <t>с. Акай</t>
  </si>
  <si>
    <t>пос. Торетам</t>
  </si>
  <si>
    <t>г. Аксу</t>
  </si>
  <si>
    <t>пос. Жетикара</t>
  </si>
  <si>
    <t>г. Талгар</t>
  </si>
  <si>
    <t>с. Кызылсай</t>
  </si>
  <si>
    <t>г. Лисаковск</t>
  </si>
  <si>
    <t>г. Хромтау</t>
  </si>
  <si>
    <t>г. Жаркент</t>
  </si>
  <si>
    <t>г. Алтай</t>
  </si>
  <si>
    <t>пос. Шубарши</t>
  </si>
  <si>
    <t>пос. Макат</t>
  </si>
  <si>
    <t>г. Аксай</t>
  </si>
  <si>
    <t>с. Шиели</t>
  </si>
  <si>
    <t>г. Аягоз</t>
  </si>
  <si>
    <t>с. Жанбай</t>
  </si>
  <si>
    <t>г. Кандыагаш</t>
  </si>
  <si>
    <t>г. Абай</t>
  </si>
  <si>
    <t>с. Ганюшкино</t>
  </si>
  <si>
    <t>с. Бурлин</t>
  </si>
  <si>
    <t>пос. Карабалык</t>
  </si>
  <si>
    <t>пос. Индерборский</t>
  </si>
  <si>
    <t>г. Аркалык</t>
  </si>
  <si>
    <t>г. Шемонаиха</t>
  </si>
  <si>
    <t>пос. Айтеке би</t>
  </si>
  <si>
    <t>г. Каратау</t>
  </si>
  <si>
    <t>г. Аральск</t>
  </si>
  <si>
    <t>г. Сарань</t>
  </si>
  <si>
    <t>пос. Ауэзов</t>
  </si>
  <si>
    <t>г. Жанаозен</t>
  </si>
  <si>
    <t>пос. Састобе</t>
  </si>
  <si>
    <t>г. Кентау</t>
  </si>
  <si>
    <t>г. Атбасар</t>
  </si>
  <si>
    <t>MEDIAN из air_index</t>
  </si>
  <si>
    <t>Северо-Казахстанская</t>
  </si>
  <si>
    <t>Жамбылская</t>
  </si>
  <si>
    <t>Восточно-Казахстанская</t>
  </si>
  <si>
    <r>
      <rPr>
        <rFont val="Arial"/>
        <color theme="1"/>
      </rPr>
      <t xml:space="preserve">Регионы-антилидеры по </t>
    </r>
    <r>
      <rPr>
        <rFont val="Arial"/>
        <b/>
        <color theme="1"/>
      </rPr>
      <t>ИЗА</t>
    </r>
    <r>
      <rPr>
        <rFont val="Arial"/>
        <color theme="1"/>
      </rPr>
      <t xml:space="preserve"> (Индекс загрязнения атмосферы, показывает уровень хронического, длительного загрязнения воздуха).</t>
    </r>
  </si>
  <si>
    <t>Акмолинская</t>
  </si>
  <si>
    <t>Мангыстауская</t>
  </si>
  <si>
    <t>*Для наглядности</t>
  </si>
  <si>
    <t>Область Жетысу</t>
  </si>
  <si>
    <t>Павлодарская</t>
  </si>
  <si>
    <t>Алматинская</t>
  </si>
  <si>
    <t>Костанайская</t>
  </si>
  <si>
    <t>Кызылординская</t>
  </si>
  <si>
    <t>Западно-Казахстанская</t>
  </si>
  <si>
    <t>Область Абай</t>
  </si>
  <si>
    <t>Если сравнить таблицы по ИЗА и таблице с регионами, где постоянно собирают пробы качества воздуха, встают вопросы:</t>
  </si>
  <si>
    <t>Туркестанская</t>
  </si>
  <si>
    <t xml:space="preserve">Почему в г. Астана так редко берут пробы воздуха, если она явно лидирует по ИЗА? </t>
  </si>
  <si>
    <t>Почему пробы по г. Алматы и Северо-Казахстанской области вообще не представлены?</t>
  </si>
  <si>
    <t>С чем в таком случае связаны высокие показатели ИЗА, если в таблице с выбросами информации по этим регионам нет?</t>
  </si>
  <si>
    <t>Уровень загрязнения населенных пунктов Республики Казахстан (индекс загрязнения атмосферы) за 2024 год</t>
  </si>
  <si>
    <t>город / населённый пункт</t>
  </si>
  <si>
    <t>ИЗА (показатель)</t>
  </si>
  <si>
    <t>water_body</t>
  </si>
  <si>
    <t>HPE_EHE</t>
  </si>
  <si>
    <t>date_analysis</t>
  </si>
  <si>
    <t>substance_name</t>
  </si>
  <si>
    <t>unit_measure</t>
  </si>
  <si>
    <t>concentration</t>
  </si>
  <si>
    <t>река Акбулак, 0,5 км выше выпуска промывных вод насосно-фильтровальной станции (район ул. Ш. Кудайбердиева)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</si>
  <si>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</si>
  <si>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</si>
  <si>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</si>
  <si>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</si>
  <si>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</si>
  <si>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</si>
  <si>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</si>
  <si>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</si>
  <si>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</si>
  <si>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</si>
  <si>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</si>
  <si>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</si>
  <si>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</si>
  <si>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</si>
  <si>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</si>
  <si>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</si>
  <si>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</si>
  <si>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</si>
  <si>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Акбулак,  0,5  км  ниже  выпуска
промывных        вод        насосно-фильтровальной станции (район ул. Ш. Кудайбердиева)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</si>
  <si>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</si>
  <si>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</si>
  <si>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</si>
  <si>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</si>
  <si>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</si>
  <si>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</si>
  <si>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Акбулак, 0,5  км  выше выпуска очищенных ливневых вод, район ул. Акжол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</si>
  <si>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</si>
  <si>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</si>
  <si>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</si>
  <si>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</si>
  <si>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</si>
  <si>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</si>
  <si>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</si>
  <si>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</si>
  <si>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</si>
  <si>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Акбулак,  0,5  км  ниже  выпуска очищенных ливневых вод, район ул. Акжол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</si>
  <si>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</si>
  <si>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</si>
  <si>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</si>
  <si>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</si>
  <si>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</si>
  <si>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</si>
  <si>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</si>
  <si>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</si>
  <si>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</si>
  <si>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Акбулак,  0,5  км  ниже  выпуска
очищенных ливневых вод, район ул. Акжол</t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</si>
  <si>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</si>
  <si>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</si>
  <si>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</si>
  <si>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c. Гришенка</t>
  </si>
  <si>
    <t>река Тобыл, Костанайская область, 0,2 км ниже села в створе г/п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</si>
  <si>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</si>
  <si>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</si>
  <si>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</si>
  <si>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</si>
  <si>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</si>
  <si>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</si>
  <si>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Аккарга</t>
  </si>
  <si>
    <t>река Тобыл, Костанайская область, 1 км к ЮВ от села в створе г/п.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</si>
  <si>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</si>
  <si>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</si>
  <si>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</si>
  <si>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</si>
  <si>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</si>
  <si>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</si>
  <si>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</si>
  <si>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</si>
  <si>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</si>
  <si>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</si>
  <si>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</si>
  <si>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</si>
  <si>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</si>
  <si>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</si>
  <si>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</si>
  <si>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</si>
  <si>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</si>
  <si>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</si>
  <si>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</si>
  <si>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</si>
  <si>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</si>
  <si>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</si>
  <si>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</si>
  <si>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</si>
  <si>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</si>
  <si>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</si>
  <si>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</si>
  <si>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</si>
  <si>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</si>
  <si>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</si>
  <si>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</si>
  <si>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</si>
  <si>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</si>
  <si>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</si>
  <si>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</si>
  <si>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</si>
  <si>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</si>
  <si>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</si>
  <si>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</si>
  <si>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</si>
  <si>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</si>
  <si>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</si>
  <si>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</si>
  <si>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</si>
  <si>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</si>
  <si>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</si>
  <si>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</si>
  <si>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</si>
  <si>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</si>
  <si>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</si>
  <si>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</si>
  <si>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</si>
  <si>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Никель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</si>
  <si>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</si>
  <si>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</si>
  <si>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</si>
  <si>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</si>
  <si>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</si>
  <si>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</si>
  <si>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</si>
  <si>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</si>
  <si>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</si>
  <si>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</si>
  <si>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</si>
  <si>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</si>
  <si>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</si>
  <si>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</si>
  <si>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</si>
  <si>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</si>
  <si>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</si>
  <si>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</si>
  <si>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</si>
  <si>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</si>
  <si>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</si>
  <si>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</si>
  <si>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Милютинка, в черте села, в створе г/п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</si>
  <si>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</si>
  <si>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</si>
  <si>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</si>
  <si>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    Тобыл,  Управление
горводоканала 1 км выше сброса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</si>
  <si>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</si>
  <si>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</si>
  <si>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</si>
  <si>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Варваринка</t>
  </si>
  <si>
    <t>река Айет, Костанайская область, 0,2 км выше села в створе г/п</t>
  </si>
  <si>
    <r>
      <rPr>
        <rFont val="Arial"/>
        <color theme="1"/>
        <sz val="10.0"/>
      </rPr>
      <t>1ВЗ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</si>
  <si>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</si>
  <si>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</si>
  <si>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</si>
  <si>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</si>
  <si>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</si>
  <si>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</si>
  <si>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</si>
  <si>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</si>
  <si>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</si>
  <si>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</si>
  <si>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</si>
  <si>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Аксуат</t>
  </si>
  <si>
    <t>река Обаган, Костанайская область, 4 км к В от села в створе г/п.4 км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</si>
  <si>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</si>
  <si>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</si>
  <si>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</si>
  <si>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</si>
  <si>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</si>
  <si>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</si>
  <si>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</si>
  <si>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</si>
  <si>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</si>
  <si>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</si>
  <si>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</si>
  <si>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</si>
  <si>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</si>
  <si>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</si>
  <si>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</si>
  <si>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</si>
  <si>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</si>
  <si>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</si>
  <si>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</si>
  <si>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</si>
  <si>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</si>
  <si>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</si>
  <si>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</si>
  <si>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</si>
  <si>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ЭВЗ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</si>
  <si>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</si>
  <si>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</si>
  <si>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</si>
  <si>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</si>
  <si>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</si>
  <si>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</si>
  <si>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Сульфаты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</si>
  <si>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</si>
  <si>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</si>
  <si>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Кальций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</si>
  <si>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</si>
  <si>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</si>
  <si>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</si>
  <si>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</si>
  <si>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</si>
  <si>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</si>
  <si>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</si>
  <si>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Чайковское</t>
  </si>
  <si>
    <t>река  Желкуар,  Костанайская  область,  створ 
0,5 км к ЮВ от села в створе г/п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</si>
  <si>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</si>
  <si>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</si>
  <si>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</si>
  <si>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</si>
  <si>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Магний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</si>
  <si>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</si>
  <si>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</si>
  <si>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Минерализация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</si>
  <si>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</si>
  <si>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</si>
  <si>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</si>
  <si>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</si>
  <si>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Уйское</t>
  </si>
  <si>
    <t>река  Уй,   0,5  км  к  В  от  с.  Уйское,  в створе г/п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</si>
  <si>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</si>
  <si>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</si>
  <si>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</si>
  <si>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</si>
  <si>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</si>
  <si>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</si>
  <si>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</si>
  <si>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</si>
  <si>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</si>
  <si>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Коргалжын</t>
  </si>
  <si>
    <t>река Нура, Акмолинская область, 2 км ниже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</si>
  <si>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</si>
  <si>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</si>
  <si>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</si>
  <si>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</si>
  <si>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</si>
  <si>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</si>
  <si>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Шешенкара</t>
  </si>
  <si>
    <t>река     Нура,      Карагандинская     область, 3 км ниже с.  Шешенкара,  в  районе автодорожного моста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</si>
  <si>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</si>
  <si>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</si>
  <si>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</si>
  <si>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</si>
  <si>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</si>
  <si>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</si>
  <si>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</si>
  <si>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</si>
  <si>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</si>
  <si>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</si>
  <si>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</si>
  <si>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</si>
  <si>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</si>
  <si>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</si>
  <si>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</si>
  <si>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Нура, 0,1 км ниже г. Темиртау, 1 км выше объединенного сброса сточных вод АО
«АрселорМиттал Темиртау» и АО «ТЭМК»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</si>
  <si>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</si>
  <si>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</si>
  <si>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</si>
  <si>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</si>
  <si>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12.04.20224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</si>
  <si>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</si>
  <si>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</si>
  <si>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</si>
  <si>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Жеклезо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</si>
  <si>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</si>
  <si>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</si>
  <si>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</si>
  <si>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</si>
  <si>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</si>
  <si>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</si>
  <si>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</si>
  <si>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</si>
  <si>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</si>
  <si>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</si>
  <si>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</si>
  <si>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</si>
  <si>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</si>
  <si>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</si>
  <si>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</si>
  <si>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</si>
  <si>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</si>
  <si>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</si>
  <si>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</si>
  <si>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</si>
  <si>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</si>
  <si>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</si>
  <si>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</si>
  <si>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</si>
  <si>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</si>
  <si>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</si>
  <si>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</si>
  <si>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 xml:space="preserve">г. Темиртау, 2,1 ниже г. Темиртау, 1 км ниже объединенного сброса сточных вод АО
</t>
    </r>
    <r>
      <rPr>
        <rFont val="Arial"/>
        <color theme="1"/>
        <sz val="10.0"/>
      </rPr>
      <t>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</si>
  <si>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</si>
  <si>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</si>
  <si>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</si>
  <si>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</si>
  <si>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</si>
  <si>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</si>
  <si>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</si>
  <si>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</si>
  <si>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</si>
  <si>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</si>
  <si>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</si>
  <si>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</si>
  <si>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</si>
  <si>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</si>
  <si>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</si>
  <si>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</si>
  <si>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</si>
  <si>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</si>
  <si>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</si>
  <si>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Нура, </t>
    </r>
    <r>
      <rPr>
        <rFont val="Arial"/>
        <color theme="1"/>
        <sz val="10.0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</si>
  <si>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</si>
  <si>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</si>
  <si>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</si>
  <si>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Актобе</t>
  </si>
  <si>
    <t xml:space="preserve">река     Нура,     верхний     бьеф     Ынтумакского водохранилища 4,8 км по низкому руслу реки 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</si>
  <si>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</si>
  <si>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</si>
  <si>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</si>
  <si>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</si>
  <si>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</si>
  <si>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</si>
  <si>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Акмешит</t>
  </si>
  <si>
    <t>река Нура, в черте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</si>
  <si>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</si>
  <si>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</si>
  <si>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</si>
  <si>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</si>
  <si>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</si>
  <si>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</si>
  <si>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</si>
  <si>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</si>
  <si>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</si>
  <si>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</si>
  <si>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</si>
  <si>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</si>
  <si>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</si>
  <si>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</si>
  <si>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</si>
  <si>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</si>
  <si>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</si>
  <si>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</si>
  <si>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</si>
  <si>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Общее железо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</si>
  <si>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</si>
  <si>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</si>
  <si>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</si>
  <si>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</si>
  <si>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Жана Талап</t>
  </si>
  <si>
    <t>река Нура, (бывш. с. Молодецкое), автодорожный мост в районе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</si>
  <si>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</si>
  <si>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</si>
  <si>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</si>
  <si>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Нура</t>
  </si>
  <si>
    <t>река Нура, 2.0 км ниже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</si>
  <si>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</si>
  <si>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</si>
  <si>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</si>
  <si>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</si>
  <si>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</si>
  <si>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</si>
  <si>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 xml:space="preserve">с. Р. Кошкарбаева </t>
  </si>
  <si>
    <t>река Нура, (бывш.Романовка), 5 км ниже села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</si>
  <si>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</si>
  <si>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</si>
  <si>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</si>
  <si>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</si>
  <si>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</si>
  <si>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</si>
  <si>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пос. Сабынды</t>
  </si>
  <si>
    <t>река  Нура,  Кенбидайский  гидроузе  л,  6  км  за на юг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</si>
  <si>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</si>
  <si>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</si>
  <si>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</si>
  <si>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</si>
  <si>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</si>
  <si>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</si>
  <si>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Кара  Кенгир,  г.  Жезказган,  4,7  км  ниже  плотины  Кенгирского вдхр.,  0,5  км  ниже  сброса  сточных  вод     АО
«ПТВС»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</si>
  <si>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</si>
  <si>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</si>
  <si>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</si>
  <si>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</si>
  <si>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</si>
  <si>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</si>
  <si>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</si>
  <si>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</si>
  <si>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</si>
  <si>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</si>
  <si>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БПК5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</si>
  <si>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</si>
  <si>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</si>
  <si>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</si>
  <si>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</si>
  <si>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</si>
  <si>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</si>
  <si>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</si>
  <si>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</si>
  <si>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</si>
  <si>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</si>
  <si>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</si>
  <si>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БПК5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</si>
  <si>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</si>
  <si>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</si>
  <si>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</si>
  <si>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</si>
  <si>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</si>
  <si>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</si>
  <si>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</si>
  <si>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</si>
  <si>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</si>
  <si>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</si>
  <si>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</si>
  <si>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</si>
  <si>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</si>
  <si>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</si>
  <si>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</si>
  <si>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</si>
  <si>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</si>
  <si>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</si>
  <si>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</si>
  <si>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</si>
  <si>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Растворенный кислород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</si>
  <si>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</si>
  <si>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</si>
  <si>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</si>
  <si>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</si>
  <si>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</si>
  <si>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</si>
  <si>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</si>
  <si>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</si>
  <si>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</si>
  <si>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</si>
  <si>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</si>
  <si>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  <vertAlign val="superscript"/>
      </rPr>
      <t>БПК</t>
    </r>
    <r>
      <rPr>
        <rFont val="Arial"/>
        <color theme="1"/>
        <sz val="10.0"/>
      </rPr>
      <t>5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</si>
  <si>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</si>
  <si>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Каражар</t>
  </si>
  <si>
    <t xml:space="preserve">река Сокыр, устье, Карагандинская область
автодорожный мост в районе 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</si>
  <si>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</si>
  <si>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</si>
  <si>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</si>
  <si>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</si>
  <si>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Нитрат-ион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</si>
  <si>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</si>
  <si>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</si>
  <si>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 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</si>
  <si>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</si>
  <si>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</si>
  <si>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Нитрит-ион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</si>
  <si>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</si>
  <si>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</si>
  <si>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</si>
  <si>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</si>
  <si>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</si>
  <si>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</si>
  <si>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</si>
  <si>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</si>
  <si>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</si>
  <si>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</si>
  <si>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</si>
  <si>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</si>
  <si>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</si>
  <si>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</si>
  <si>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</si>
  <si>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</si>
  <si>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</si>
  <si>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</si>
  <si>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</si>
  <si>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</si>
  <si>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</si>
  <si>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</si>
  <si>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</si>
  <si>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</si>
  <si>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</si>
  <si>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</si>
  <si>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</si>
  <si>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</si>
  <si>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</si>
  <si>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</si>
  <si>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</si>
  <si>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Асыл</t>
  </si>
  <si>
    <t xml:space="preserve">река   Шерубайнура,   Карагандинская   область устье, 2,0 км ниже 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</si>
  <si>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</si>
  <si>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</si>
  <si>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</si>
  <si>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</si>
  <si>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Нитрат-ион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</si>
  <si>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</si>
  <si>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</si>
  <si>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 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</si>
  <si>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</si>
  <si>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</si>
  <si>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Нитрит-ион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</si>
  <si>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</si>
  <si>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</si>
  <si>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</si>
  <si>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</si>
  <si>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</si>
  <si>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</si>
  <si>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</si>
  <si>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</si>
  <si>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</si>
  <si>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</si>
  <si>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</si>
  <si>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</si>
  <si>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</si>
  <si>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</si>
  <si>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</si>
  <si>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</si>
  <si>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</si>
  <si>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</si>
  <si>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</si>
  <si>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</si>
  <si>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</si>
  <si>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</si>
  <si>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</si>
  <si>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</si>
  <si>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</si>
  <si>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</si>
  <si>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</si>
  <si>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</si>
  <si>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</si>
  <si>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</si>
  <si>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</si>
  <si>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</si>
  <si>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</si>
  <si>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</si>
  <si>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</si>
  <si>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</si>
  <si>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</si>
  <si>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</si>
  <si>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</si>
  <si>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</si>
  <si>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</si>
  <si>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Хлориды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</si>
  <si>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</si>
  <si>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</si>
  <si>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</si>
  <si>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</si>
  <si>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</si>
  <si>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</si>
  <si>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</si>
  <si>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</si>
  <si>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</si>
  <si>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</si>
  <si>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</si>
  <si>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Аммоний-ион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</si>
  <si>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</si>
  <si>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</si>
  <si>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Фосфор общий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</si>
  <si>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</si>
  <si>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</si>
  <si>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ХПК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</si>
  <si>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</si>
  <si>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</si>
  <si>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</si>
  <si>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</si>
  <si>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Ульби, </t>
    </r>
    <r>
      <rPr>
        <rFont val="Arial"/>
        <color theme="1"/>
        <sz val="10.0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</si>
  <si>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</si>
  <si>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</si>
  <si>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</si>
  <si>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Ульби, </t>
    </r>
    <r>
      <rPr>
        <rFont val="Arial"/>
        <color theme="1"/>
        <sz val="10.0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</si>
  <si>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</si>
  <si>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</si>
  <si>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</si>
  <si>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Ульби, </t>
    </r>
    <r>
      <rPr>
        <rFont val="Arial"/>
        <color theme="1"/>
        <sz val="10.0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</si>
  <si>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</si>
  <si>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</si>
  <si>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</si>
  <si>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Ульби, Восточно-Казахстанская область, в черте п. Каменный Карьер; в створе водпоста; (01) левый берег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</si>
  <si>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</si>
  <si>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</si>
  <si>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</si>
  <si>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Ульби,  </t>
    </r>
    <r>
      <rPr>
        <rFont val="Arial"/>
        <color theme="1"/>
        <sz val="10.0"/>
      </rPr>
      <t xml:space="preserve">Восточно-Казахстанская  область,г. Усть-Каменогорск,  в  черте  города;  1  км  выше устья р.  Ульби; 0,36 км ниже льбинского моста;
</t>
    </r>
    <r>
      <rPr>
        <rFont val="Arial"/>
        <color theme="1"/>
        <sz val="10.0"/>
      </rPr>
      <t>(01) левый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</si>
  <si>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</si>
  <si>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</si>
  <si>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</si>
  <si>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Ульби, </t>
    </r>
    <r>
      <rPr>
        <rFont val="Arial"/>
        <color theme="1"/>
        <sz val="10.0"/>
      </rPr>
      <t xml:space="preserve">Восточно-Казахстанская область, г. Усть-Каменогорск,  в  черте  города;  1  км  выше устья р. Ульби; 0,36 км ниже Ульбинского моста;
</t>
    </r>
    <r>
      <rPr>
        <rFont val="Arial"/>
        <color theme="1"/>
        <sz val="10.0"/>
      </rPr>
      <t>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</si>
  <si>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</si>
  <si>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</si>
  <si>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</si>
  <si>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 Ертис,   </t>
    </r>
    <r>
      <rPr>
        <rFont val="Arial"/>
        <color theme="1"/>
        <sz val="10.0"/>
      </rPr>
      <t xml:space="preserve">Восточно-Казахстанская   область,
</t>
    </r>
    <r>
      <rPr>
        <rFont val="Arial"/>
        <color theme="1"/>
        <sz val="10.0"/>
      </rPr>
      <t>Усть-Каменогорск,  в  черте  города;3,2  км  ниже впадения р.Ульби;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</si>
  <si>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</si>
  <si>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</si>
  <si>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</si>
  <si>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Ертис,  </t>
    </r>
    <r>
      <rPr>
        <rFont val="Arial"/>
        <color theme="1"/>
        <sz val="10.0"/>
      </rPr>
      <t xml:space="preserve">Восточно-Казахстанская область, г.
</t>
    </r>
    <r>
      <rPr>
        <rFont val="Arial"/>
        <color theme="1"/>
        <sz val="10.0"/>
      </rPr>
      <t>Усть-Каменогорск,  в  черте с.  Прапорщиково; 15 км ниже впадения руч. Бражий;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</si>
  <si>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</si>
  <si>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</si>
  <si>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</si>
  <si>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Оба, 1,8 км выше впадения р. Березовка;
(09) правый берег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</si>
  <si>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</si>
  <si>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</si>
  <si>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</si>
  <si>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 Оба,   </t>
    </r>
    <r>
      <rPr>
        <rFont val="Arial"/>
        <color theme="1"/>
        <sz val="10.0"/>
      </rPr>
      <t xml:space="preserve">Восточно-Казахстанская   область,г.
</t>
    </r>
    <r>
      <rPr>
        <rFont val="Arial"/>
        <color theme="1"/>
        <sz val="10.0"/>
      </rPr>
      <t>Шемонаиха, в  черте с.  Камышенка; 4,1 км ниже впадения р. Таловка;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</si>
  <si>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</si>
  <si>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</si>
  <si>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</si>
  <si>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 Оба,   </t>
    </r>
    <r>
      <rPr>
        <rFont val="Arial"/>
        <color theme="1"/>
        <sz val="10.0"/>
      </rPr>
      <t xml:space="preserve">Восточно-Казахстанская   область,г.
</t>
    </r>
    <r>
      <rPr>
        <rFont val="Arial"/>
        <color theme="1"/>
        <sz val="10.0"/>
      </rPr>
      <t>Шемонаиха, в  черте с.  Камышенка; 4,1 км ниже впадения р. Таловка;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</si>
  <si>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</si>
  <si>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</si>
  <si>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</si>
  <si>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п. Белоусовка</t>
  </si>
  <si>
    <t>река    Глубочанка, в    черте п.Белоусовка;0,6  км  ниже  сброса  хозяйственно- бытовых  сточных  вод  очистных  сооружений  п. Белоусовки, 0,6 км выше границы п. Белоусовка;
у автодорожного моста; (09) правый берег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</si>
  <si>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</si>
  <si>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</si>
  <si>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</si>
  <si>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</si>
  <si>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</si>
  <si>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</si>
  <si>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Предгорное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</si>
  <si>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</si>
  <si>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</si>
  <si>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</si>
  <si>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</si>
  <si>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Кадмий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</si>
  <si>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</si>
  <si>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</si>
  <si>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</si>
  <si>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</si>
  <si>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</si>
  <si>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Кадмий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</si>
  <si>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</si>
  <si>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</si>
  <si>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</si>
  <si>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</si>
  <si>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</si>
  <si>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Кадмий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</si>
  <si>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</si>
  <si>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</si>
  <si>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</si>
  <si>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Марганец (2+)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</si>
  <si>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</si>
  <si>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</si>
  <si>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</si>
  <si>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</si>
  <si>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</si>
  <si>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</si>
  <si>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</si>
  <si>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</si>
  <si>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</si>
  <si>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</si>
  <si>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</si>
  <si>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</si>
  <si>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</si>
  <si>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</si>
  <si>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</si>
  <si>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</si>
  <si>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</si>
  <si>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Тихая, </t>
    </r>
    <r>
      <rPr>
        <rFont val="Arial"/>
        <color theme="1"/>
        <sz val="10.0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rFont val="Arial"/>
        <color theme="1"/>
        <sz val="10.0"/>
      </rPr>
      <t>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</si>
  <si>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</si>
  <si>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</si>
  <si>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</si>
  <si>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Брекса, </t>
    </r>
    <r>
      <rPr>
        <rFont val="Arial"/>
        <color theme="1"/>
        <sz val="10.0"/>
      </rPr>
      <t>Восточно-Казахстанская область, г. Риддер,  в  черте г.  Риддер;  0,6 км выше устья  р. Брекса;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</si>
  <si>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</si>
  <si>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</si>
  <si>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</si>
  <si>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Брекса, </t>
    </r>
    <r>
      <rPr>
        <rFont val="Arial"/>
        <color theme="1"/>
        <sz val="10.0"/>
      </rPr>
      <t>Восточно-Казахстанская область, г. Риддер,  в  черте г.  Риддер;  0,6 км выше устья  р. Брекса;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</si>
  <si>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</si>
  <si>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</si>
  <si>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</si>
  <si>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Брекса, </t>
    </r>
    <r>
      <rPr>
        <rFont val="Arial"/>
        <color theme="1"/>
        <sz val="10.0"/>
      </rPr>
      <t>Восточно-Казахстанская область, г. Риддер,  в  черте г.  Риддер;  0,6 км выше устья  р. Брекса; 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</si>
  <si>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</si>
  <si>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</si>
  <si>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</si>
  <si>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река Брекса</t>
    </r>
    <r>
      <rPr>
        <rFont val="Arial"/>
        <color theme="1"/>
        <sz val="10.0"/>
      </rPr>
      <t xml:space="preserve">, Восточно-Казахстанская область, г. Риддер; в черте г. Риддер 0,5 км выше слияния с рекой Филипповкой;
</t>
    </r>
    <r>
      <rPr>
        <rFont val="Arial"/>
        <color theme="1"/>
        <sz val="10.0"/>
      </rPr>
      <t>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</si>
  <si>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</si>
  <si>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</si>
  <si>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</si>
  <si>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река Брекса</t>
    </r>
    <r>
      <rPr>
        <rFont val="Arial"/>
        <color theme="1"/>
        <sz val="10.0"/>
      </rPr>
      <t xml:space="preserve">, Восточно-Казахстанская область, г. Риддер; в черте г. Риддер 0,5 км выше слияния с рекой Филипповкой;
</t>
    </r>
    <r>
      <rPr>
        <rFont val="Arial"/>
        <color theme="1"/>
        <sz val="10.0"/>
      </rPr>
      <t>(09) правый берег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</si>
  <si>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</si>
  <si>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</si>
  <si>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</si>
  <si>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Покровка</t>
  </si>
  <si>
    <t>река   Есиль, 0,2   км   выше   п.
Покровка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</si>
  <si>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</si>
  <si>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</si>
  <si>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</si>
  <si>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река  Есиль,  0,2  км  выше  г. Петропавловск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</si>
  <si>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</si>
  <si>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</si>
  <si>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</si>
  <si>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река  Есиль</t>
    </r>
    <r>
      <rPr>
        <rFont val="Arial"/>
        <color theme="1"/>
        <sz val="10.0"/>
      </rPr>
      <t xml:space="preserve">,  г.  Петропавловск,  4,8  км  ниже    г. Петропавловск, 5,8 км ниже сброса сточных вод
</t>
    </r>
    <r>
      <rPr>
        <rFont val="Arial"/>
        <color theme="1"/>
        <sz val="10.0"/>
      </rPr>
      <t>ТЭЦ-2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</si>
  <si>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</si>
  <si>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</si>
  <si>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</si>
  <si>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с. Долматово</t>
  </si>
  <si>
    <t>река  Есиль,  0,4     км  ниже     с.
Долматово; в створе водопоста</t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</si>
  <si>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</si>
  <si>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</si>
  <si>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</si>
  <si>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г. Сергеевка</t>
  </si>
  <si>
    <r>
      <rPr>
        <rFont val="Arial"/>
        <color theme="1"/>
        <sz val="10.0"/>
      </rPr>
      <t xml:space="preserve">вдхр.  Сергеевское </t>
    </r>
    <r>
      <rPr>
        <rFont val="Arial"/>
        <color theme="1"/>
        <sz val="10.0"/>
      </rPr>
      <t xml:space="preserve">– г. Сергеевка,  1 км к ЮЮЗ
</t>
    </r>
    <r>
      <rPr>
        <rFont val="Arial"/>
        <color theme="1"/>
        <sz val="10.0"/>
      </rPr>
      <t>от.  Г. Сергеевка; 2 м выше плотины по азимуту 95</t>
    </r>
    <r>
      <rPr>
        <rFont val="Arial"/>
        <color theme="1"/>
        <sz val="10.0"/>
        <vertAlign val="superscript"/>
      </rPr>
      <t xml:space="preserve">0 </t>
    </r>
    <r>
      <rPr>
        <rFont val="Arial"/>
        <color theme="1"/>
        <sz val="10.0"/>
      </rPr>
      <t>от ОГП</t>
    </r>
  </si>
  <si>
    <r>
      <rPr>
        <rFont val="Arial"/>
        <color theme="1"/>
        <sz val="10.0"/>
      </rPr>
      <t>1 ВЗ</t>
    </r>
  </si>
  <si>
    <r>
      <rPr>
        <rFont val="Arial"/>
        <color theme="1"/>
        <sz val="10.0"/>
      </rPr>
      <t>Железо общее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</si>
  <si>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</si>
  <si>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</si>
  <si>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</si>
  <si>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</si>
  <si>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</si>
  <si>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</si>
  <si>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</si>
  <si>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</si>
  <si>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</si>
  <si>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</si>
  <si>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</si>
  <si>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</si>
  <si>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</si>
  <si>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</si>
  <si>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</si>
  <si>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</si>
  <si>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</si>
  <si>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</si>
  <si>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</si>
  <si>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</si>
  <si>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</si>
  <si>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</si>
  <si>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</si>
  <si>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</si>
  <si>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</si>
  <si>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</si>
  <si>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</si>
  <si>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</si>
  <si>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</si>
  <si>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 xml:space="preserve">г.  Астана,  0,5  км  ниже  выпуска промывных        вод        насосно-фильтровальной
</t>
    </r>
    <r>
      <rPr>
        <rFont val="Arial"/>
        <color theme="1"/>
        <sz val="10.0"/>
      </rPr>
      <t>станции (район ул. Ш. Кудайбердиева)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</si>
  <si>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</si>
  <si>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</si>
  <si>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</si>
  <si>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Акбулак,  </t>
    </r>
    <r>
      <rPr>
        <rFont val="Arial"/>
        <color theme="1"/>
        <sz val="10.0"/>
      </rPr>
      <t xml:space="preserve">г.  Астана,  0,5  км  выше выпуска
</t>
    </r>
    <r>
      <rPr>
        <rFont val="Arial"/>
        <color theme="1"/>
        <sz val="10.0"/>
      </rPr>
      <t>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</si>
  <si>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</si>
  <si>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</si>
  <si>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</si>
  <si>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</si>
  <si>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</si>
  <si>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</si>
  <si>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</si>
  <si>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</si>
  <si>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</si>
  <si>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</si>
  <si>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</si>
  <si>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</si>
  <si>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</si>
  <si>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</si>
  <si>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</si>
  <si>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</si>
  <si>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</si>
  <si>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</si>
  <si>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</si>
  <si>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река  Акбулак,  </t>
    </r>
    <r>
      <rPr>
        <rFont val="Arial"/>
        <color theme="1"/>
        <sz val="10.0"/>
      </rPr>
      <t>г.  Астана,  0,5  км  ниже  выпуска очищенных ливневых вод, район ул. Акжол</t>
    </r>
  </si>
  <si>
    <r>
      <rPr>
        <rFont val="Arial"/>
        <color theme="1"/>
        <sz val="10.0"/>
      </rPr>
      <t>Для сведения</t>
    </r>
  </si>
  <si>
    <r>
      <rPr>
        <rFont val="Arial"/>
        <color theme="1"/>
        <sz val="10.0"/>
      </rPr>
      <t>Сероводород</t>
    </r>
  </si>
  <si>
    <r>
      <rPr>
        <rFont val="Arial"/>
        <color theme="1"/>
        <sz val="10.0"/>
      </rPr>
      <t>мг/дм</t>
    </r>
    <r>
      <rPr>
        <rFont val="Arial"/>
        <color theme="1"/>
        <sz val="10.0"/>
        <vertAlign val="superscript"/>
      </rPr>
      <t>3</t>
    </r>
  </si>
  <si>
    <t>COUNTA из HPE_EHE</t>
  </si>
  <si>
    <t>Количество случаев высокого и экстремально выского загрязнения поверхностных вод регионов в 2024 году.</t>
  </si>
  <si>
    <t>Стоит подчеркнуть, что в исходной таблице представлены данные по водным ресурсам только этих областей.</t>
  </si>
  <si>
    <t>COUNTA of substance_name</t>
  </si>
  <si>
    <t>Аммоний ион</t>
  </si>
  <si>
    <t>Здесь представлены вредные примеси, которые чаще всего встречаются</t>
  </si>
  <si>
    <t>Аммоний-ион</t>
  </si>
  <si>
    <t>в водах трех регионов, "возглавляющих" рейтинг.</t>
  </si>
  <si>
    <t>БПК5</t>
  </si>
  <si>
    <t>Жеклезо общее</t>
  </si>
  <si>
    <t>Железо общее</t>
  </si>
  <si>
    <t>Кадмий</t>
  </si>
  <si>
    <t>Кадмий (2+)</t>
  </si>
  <si>
    <t>Кальций</t>
  </si>
  <si>
    <t>Магний</t>
  </si>
  <si>
    <t>Марганец</t>
  </si>
  <si>
    <t>Марганец (2+)</t>
  </si>
  <si>
    <t>Минерализация</t>
  </si>
  <si>
    <t>Никель</t>
  </si>
  <si>
    <t>Нитрат-ион</t>
  </si>
  <si>
    <t>Нитрит-ион</t>
  </si>
  <si>
    <t>Общее железо</t>
  </si>
  <si>
    <t>Растворенный кислород</t>
  </si>
  <si>
    <t>Сульфаты</t>
  </si>
  <si>
    <t>Фосфор общий</t>
  </si>
  <si>
    <t>Хлориды</t>
  </si>
  <si>
    <t>ХПК</t>
  </si>
  <si>
    <t>exceedance_MPC</t>
  </si>
  <si>
    <t>пос. Куланды</t>
  </si>
  <si>
    <t>г. Текели</t>
  </si>
  <si>
    <r>
      <rPr>
        <rFont val="Arial"/>
        <color theme="1"/>
        <sz val="10.0"/>
      </rPr>
      <t>с. Кордай</t>
    </r>
  </si>
  <si>
    <r>
      <rPr>
        <rFont val="Arial"/>
        <color theme="1"/>
        <sz val="10.0"/>
      </rPr>
      <t>г. Аксу</t>
    </r>
  </si>
  <si>
    <t>MEDIAN из exceedance_MPC</t>
  </si>
  <si>
    <t>MAX из exceedance_MPC</t>
  </si>
  <si>
    <t>Показано медианное значение показателя превышения предельно допустимой нормы содержания свинца и хрома в почвах областей.</t>
  </si>
  <si>
    <t>MAX of exceedance_MPC</t>
  </si>
  <si>
    <t>Дополнительно приведена таблица с максимальными значениями данного показателя.</t>
  </si>
  <si>
    <t>Можно заметить, что по медиане Восточно-Казахстанская область находится на третьем месте и имеет невысокий показатель,</t>
  </si>
  <si>
    <t>однако она явно лидирует по максимальному значению - причем с большим отрывом.</t>
  </si>
  <si>
    <t>Это может говорить о том, что загрязнение почв там происходит наиболее радикально.</t>
  </si>
  <si>
    <t>Дополнительная таблица показывает, что в Восточно-Казахстанской области</t>
  </si>
  <si>
    <t>наиболее сильное загрязнение почв просиходит в г. Риддер.</t>
  </si>
  <si>
    <t>Случаи высокого загрязнения и экстремально высокого загрязнения поверхностных вод РК</t>
  </si>
  <si>
    <t>населенный пункт</t>
  </si>
  <si>
    <t>наименование водного объекта, область, пункт наблюдения, створ</t>
  </si>
  <si>
    <t>кол-во случаев ВЗ и ЭВЗ</t>
  </si>
  <si>
    <t>год, число, месяц отбора проб</t>
  </si>
  <si>
    <t>год, число, месяц проведения анализа</t>
  </si>
  <si>
    <t>наименование загрязняющего вещества</t>
  </si>
  <si>
    <t>единица измерения</t>
  </si>
  <si>
    <t>концентрия, мг/дм3</t>
  </si>
  <si>
    <t>Превышение предельно допустимой концентрации свинца и хрома в почвах регионов</t>
  </si>
  <si>
    <t>кратность превышения предельно допустимой концентрации (ПДК)</t>
  </si>
  <si>
    <t>rural_incidence_per_100</t>
  </si>
  <si>
    <t>urban_incidence_per_100</t>
  </si>
  <si>
    <t>SUM из rural_incidence_per_100</t>
  </si>
  <si>
    <t>SUM of urban_incidence_per_100</t>
  </si>
  <si>
    <t>Анти-рейтинг по заболеваемости онкологией среди сельского населения.</t>
  </si>
  <si>
    <t>Анти-рейтинг по заболеваемости онкологией среди городского населения.</t>
  </si>
  <si>
    <t>ЗАБОЛЕВАЕМОСТЬ ЗЛОКАЧЕСТВЕННЫМИ НОВООБРАЗОВАНИЯМИ (на 100 000 человек соответствующего населения)</t>
  </si>
  <si>
    <t>регион</t>
  </si>
  <si>
    <t>количество заболеваний на 100000 человек сельского населения</t>
  </si>
  <si>
    <t>количество заболеваний на 100000 человек городского населения</t>
  </si>
  <si>
    <t>localization</t>
  </si>
  <si>
    <t>abs_numbers</t>
  </si>
  <si>
    <t>stage I-II-III</t>
  </si>
  <si>
    <t>stage IV</t>
  </si>
  <si>
    <t>губа</t>
  </si>
  <si>
    <t>пищевод</t>
  </si>
  <si>
    <t>желудок</t>
  </si>
  <si>
    <t>прямая кишка</t>
  </si>
  <si>
    <t>гортань</t>
  </si>
  <si>
    <t>трахея, бронхи, легкие</t>
  </si>
  <si>
    <t>кожа</t>
  </si>
  <si>
    <t>молочная железа</t>
  </si>
  <si>
    <t>шейка матки</t>
  </si>
  <si>
    <t>злокачественные новообразования
лимфатических тканей</t>
  </si>
  <si>
    <t>SUM из stage I-II-III</t>
  </si>
  <si>
    <t>SUM из stage IV</t>
  </si>
  <si>
    <t>Чаще всего в Казахстане болеют онкологией кожи, губы, шейки матки и молочной железы.</t>
  </si>
  <si>
    <t>При этом нельзя назвать эти локализации "лидерами", потому что все приведенные локализации не сильно отличаются по частоте выявления.</t>
  </si>
  <si>
    <t>Но можно сказать, что реже всего встречаются злокачественные новообразования лимфатических тканей.</t>
  </si>
  <si>
    <t>А онкологию трахеи, бронхов, легких и желудка чаще всего диагностируют только на последней стадии болезни.</t>
  </si>
  <si>
    <t>РАСПРЕДЕЛЕНИЕ БОЛЬНЫХ ЗЛОКАЧЕСТВЕННЫМИ НОВООБРАЗОВАНИЯМИ С ВПЕРВЫЕ В ЖИЗНИ УСТАНОВЛЕННЫМ ДИАГНОЗОМ ПО СТАДИЯМ</t>
  </si>
  <si>
    <t>локализация новообразования</t>
  </si>
  <si>
    <t>абсолютное число заболевших</t>
  </si>
  <si>
    <t>онкология на I-II-III стадии</t>
  </si>
  <si>
    <t>онкология на IV стадии</t>
  </si>
  <si>
    <t>patients_per_100</t>
  </si>
  <si>
    <t>SUM из patients_per_100</t>
  </si>
  <si>
    <t xml:space="preserve">Представлен анти-рейтинг регионов по количеству больных онкологией, </t>
  </si>
  <si>
    <t>стоящих на диспансерном учете.</t>
  </si>
  <si>
    <t>КОНТИНГЕНТЫ БОЛЬНЫХ ЗЛОКАЧЕСТВЕННЫМИ НОВООБРАЗОВАНИЯМИ, СОСТОЯЩИЕ НА ДИСПАНСЕРНОМ УЧЕТЕ НА КОНЕЦ ОТЧЕТНОГО ГОДА</t>
  </si>
  <si>
    <t>число больных злокачественными  новообразованиями. состоящих на учете на  конец соответствующего года, на 100000 человек населения</t>
  </si>
  <si>
    <t>death_per_100</t>
  </si>
  <si>
    <t>SUM of death_per_100</t>
  </si>
  <si>
    <t>Показан уровень смертности от онкологии в регионах.</t>
  </si>
  <si>
    <t>Примечательно, что по смертности лидирует Область Абай, хотя в остальных рейтингах по онкологии она занимает позицию в середине.</t>
  </si>
  <si>
    <t>СМЕРТНОСТЬ ОТ  ЗЛОКАЧЕСТВЕННЫХ НОВООБРАЗОВАНИЙ</t>
  </si>
  <si>
    <t>число умерших  от злокачественных  новообразований на 100000 человек</t>
  </si>
  <si>
    <t>oncology clinics</t>
  </si>
  <si>
    <t>oncologists_per_100</t>
  </si>
  <si>
    <t>oncology beds_per_100</t>
  </si>
  <si>
    <t>SUM of oncology clinics</t>
  </si>
  <si>
    <t>SUM of oncologists_per_100</t>
  </si>
  <si>
    <t>SUM of oncology beds_per_100</t>
  </si>
  <si>
    <t>Показана обеспеченность населения медицинской помощью.</t>
  </si>
  <si>
    <t>Интересно, что в Туркестанской области много онкологических кабинетов,</t>
  </si>
  <si>
    <t>но при этом наблюдается острая нехватка врачей-онкологов.</t>
  </si>
  <si>
    <t>ОБЕСПЕЧЕННОСТЬ НАСЕЛЕНИЯ ОНКОЛОГИЧЕСКОЙ ПОМОЩЬЮ</t>
  </si>
  <si>
    <t>количество онкологических кабинетов</t>
  </si>
  <si>
    <t>врачи-онкологи на 100000 человек населения</t>
  </si>
  <si>
    <t>онкологические койки на 100000 человек населения</t>
  </si>
  <si>
    <t>citiy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</si>
</sst>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0.0000"/>
    <numFmt numFmtId="166" formatCode="0.0"/>
    <numFmt numFmtId="167" formatCode="0.000"/>
    <numFmt numFmtId="168" formatCode="d.m.yyyy"/>
    <numFmt numFmtId="169" formatCode="#,##0.0"/>
  </numFmts>
  <fonts count="11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i/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FFFF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E67C73"/>
        <bgColor rgb="FFE67C73"/>
      </patternFill>
    </fill>
    <fill>
      <patternFill patternType="solid">
        <fgColor rgb="FFEC9070"/>
        <bgColor rgb="FFEC9070"/>
      </patternFill>
    </fill>
    <fill>
      <patternFill patternType="solid">
        <fgColor rgb="FFF09D6E"/>
        <bgColor rgb="FFF09D6E"/>
      </patternFill>
    </fill>
    <fill>
      <patternFill patternType="solid">
        <fgColor rgb="FFF1A26D"/>
        <bgColor rgb="FFF1A26D"/>
      </patternFill>
    </fill>
    <fill>
      <patternFill patternType="solid">
        <fgColor rgb="FFF2A76C"/>
        <bgColor rgb="FFF2A76C"/>
      </patternFill>
    </fill>
    <fill>
      <patternFill patternType="solid">
        <fgColor rgb="FFFBC768"/>
        <bgColor rgb="FFFBC768"/>
      </patternFill>
    </fill>
    <fill>
      <patternFill patternType="solid">
        <fgColor rgb="FFFCC967"/>
        <bgColor rgb="FFFCC967"/>
      </patternFill>
    </fill>
    <fill>
      <patternFill patternType="solid">
        <fgColor rgb="FFFFD666"/>
        <bgColor rgb="FFFFD666"/>
      </patternFill>
    </fill>
    <fill>
      <patternFill patternType="solid">
        <fgColor rgb="FFEDD36A"/>
        <bgColor rgb="FFEDD36A"/>
      </patternFill>
    </fill>
    <fill>
      <patternFill patternType="solid">
        <fgColor rgb="FFD5CF6F"/>
        <bgColor rgb="FFD5CF6F"/>
      </patternFill>
    </fill>
    <fill>
      <patternFill patternType="solid">
        <fgColor rgb="FFCECE71"/>
        <bgColor rgb="FFCECE71"/>
      </patternFill>
    </fill>
    <fill>
      <patternFill patternType="solid">
        <fgColor rgb="FFC2CC73"/>
        <bgColor rgb="FFC2CC73"/>
      </patternFill>
    </fill>
    <fill>
      <patternFill patternType="solid">
        <fgColor rgb="FFB5CA76"/>
        <bgColor rgb="FFB5CA76"/>
      </patternFill>
    </fill>
    <fill>
      <patternFill patternType="solid">
        <fgColor rgb="FF8BC37F"/>
        <bgColor rgb="FF8BC37F"/>
      </patternFill>
    </fill>
    <fill>
      <patternFill patternType="solid">
        <fgColor rgb="FF8AC37F"/>
        <bgColor rgb="FF8AC37F"/>
      </patternFill>
    </fill>
    <fill>
      <patternFill patternType="solid">
        <fgColor rgb="FF87C280"/>
        <bgColor rgb="FF87C280"/>
      </patternFill>
    </fill>
    <fill>
      <patternFill patternType="solid">
        <fgColor rgb="FF80C182"/>
        <bgColor rgb="FF80C182"/>
      </patternFill>
    </fill>
    <fill>
      <patternFill patternType="solid">
        <fgColor rgb="FF7EC182"/>
        <bgColor rgb="FF7EC182"/>
      </patternFill>
    </fill>
    <fill>
      <patternFill patternType="solid">
        <fgColor rgb="FF77C084"/>
        <bgColor rgb="FF77C084"/>
      </patternFill>
    </fill>
    <fill>
      <patternFill patternType="solid">
        <fgColor rgb="FF57BB8A"/>
        <bgColor rgb="FF57BB8A"/>
      </patternFill>
    </fill>
  </fills>
  <borders count="3">
    <border/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1"/>
    </xf>
    <xf borderId="0" fillId="0" fontId="5" numFmtId="164" xfId="0" applyAlignment="1" applyFont="1" applyNumberFormat="1">
      <alignment horizontal="left" shrinkToFit="0" vertical="bottom" wrapText="1"/>
    </xf>
    <xf borderId="0" fillId="0" fontId="6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0" fontId="6" numFmtId="1" xfId="0" applyAlignment="1" applyFont="1" applyNumberFormat="1">
      <alignment horizontal="right" shrinkToFit="1" vertical="bottom" wrapText="0"/>
    </xf>
    <xf borderId="0" fillId="0" fontId="4" numFmtId="0" xfId="0" applyAlignment="1" applyFont="1">
      <alignment vertical="bottom"/>
    </xf>
    <xf borderId="0" fillId="0" fontId="6" numFmtId="164" xfId="0" applyAlignment="1" applyFont="1" applyNumberFormat="1">
      <alignment horizontal="left" shrinkToFit="1" vertical="bottom" wrapText="0"/>
    </xf>
    <xf borderId="0" fillId="0" fontId="6" numFmtId="165" xfId="0" applyAlignment="1" applyFont="1" applyNumberFormat="1">
      <alignment horizontal="right" shrinkToFit="1" vertical="bottom" wrapText="0"/>
    </xf>
    <xf borderId="0" fillId="0" fontId="6" numFmtId="166" xfId="0" applyAlignment="1" applyFont="1" applyNumberFormat="1">
      <alignment horizontal="right" shrinkToFit="1" vertical="bottom" wrapText="0"/>
    </xf>
    <xf borderId="0" fillId="0" fontId="6" numFmtId="2" xfId="0" applyAlignment="1" applyFont="1" applyNumberFormat="1">
      <alignment horizontal="right" shrinkToFit="1" vertical="bottom" wrapText="0"/>
    </xf>
    <xf borderId="0" fillId="0" fontId="6" numFmtId="0" xfId="0" applyAlignment="1" applyFont="1">
      <alignment horizontal="right" shrinkToFit="1" vertical="bottom" wrapText="0"/>
    </xf>
    <xf borderId="0" fillId="0" fontId="6" numFmtId="167" xfId="0" applyAlignment="1" applyFont="1" applyNumberFormat="1">
      <alignment horizontal="right" shrinkToFit="1" vertical="bottom" wrapText="0"/>
    </xf>
    <xf borderId="0" fillId="0" fontId="6" numFmtId="0" xfId="0" applyAlignment="1" applyFont="1">
      <alignment horizontal="right" shrinkToFit="0" vertical="bottom" wrapText="1"/>
    </xf>
    <xf borderId="0" fillId="0" fontId="5" numFmtId="168" xfId="0" applyAlignment="1" applyFont="1" applyNumberFormat="1">
      <alignment horizontal="left" shrinkToFit="0" vertical="bottom" wrapText="1"/>
    </xf>
    <xf borderId="0" fillId="0" fontId="4" numFmtId="0" xfId="0" applyAlignment="1" applyFont="1">
      <alignment horizontal="right"/>
    </xf>
    <xf borderId="0" fillId="0" fontId="4" numFmtId="0" xfId="0" applyFont="1"/>
    <xf borderId="0" fillId="0" fontId="4" numFmtId="10" xfId="0" applyFont="1" applyNumberFormat="1"/>
    <xf borderId="0" fillId="0" fontId="1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Font="1"/>
    <xf borderId="0" fillId="0" fontId="7" numFmtId="0" xfId="0" applyFont="1"/>
    <xf borderId="0" fillId="0" fontId="8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1"/>
    </xf>
    <xf borderId="0" fillId="0" fontId="5" numFmtId="164" xfId="0" applyAlignment="1" applyFont="1" applyNumberFormat="1">
      <alignment horizontal="left" vertical="bottom"/>
    </xf>
    <xf borderId="0" fillId="0" fontId="5" numFmtId="2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9" numFmtId="0" xfId="0" applyFont="1"/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4" numFmtId="166" xfId="0" applyAlignment="1" applyFont="1" applyNumberFormat="1">
      <alignment horizontal="right" vertical="top"/>
    </xf>
    <xf borderId="0" fillId="0" fontId="4" numFmtId="166" xfId="0" applyAlignment="1" applyFont="1" applyNumberFormat="1">
      <alignment horizontal="right"/>
    </xf>
    <xf borderId="0" fillId="0" fontId="4" numFmtId="1" xfId="0" applyAlignment="1" applyFont="1" applyNumberFormat="1">
      <alignment horizontal="right" vertical="top"/>
    </xf>
    <xf borderId="0" fillId="0" fontId="4" numFmtId="1" xfId="0" applyAlignment="1" applyFont="1" applyNumberFormat="1">
      <alignment horizontal="right"/>
    </xf>
    <xf borderId="0" fillId="0" fontId="4" numFmtId="166" xfId="0" applyFont="1" applyNumberFormat="1"/>
    <xf borderId="0" fillId="0" fontId="9" numFmtId="166" xfId="0" applyFont="1" applyNumberFormat="1"/>
    <xf borderId="0" fillId="0" fontId="4" numFmtId="1" xfId="0" applyFont="1" applyNumberFormat="1"/>
    <xf borderId="0" fillId="0" fontId="9" numFmtId="1" xfId="0" applyFont="1" applyNumberFormat="1"/>
    <xf borderId="0" fillId="0" fontId="4" numFmtId="1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  <xf borderId="0" fillId="0" fontId="5" numFmtId="169" xfId="0" applyAlignment="1" applyFont="1" applyNumberFormat="1">
      <alignment horizontal="righ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top"/>
    </xf>
    <xf borderId="0" fillId="0" fontId="5" numFmtId="166" xfId="0" applyAlignment="1" applyFont="1" applyNumberFormat="1">
      <alignment horizontal="right" vertical="top"/>
    </xf>
    <xf borderId="0" fillId="0" fontId="1" numFmtId="1" xfId="0" applyAlignment="1" applyFont="1" applyNumberFormat="1">
      <alignment horizontal="left" vertical="top"/>
    </xf>
    <xf borderId="0" fillId="0" fontId="5" numFmtId="169" xfId="0" applyAlignment="1" applyFont="1" applyNumberFormat="1">
      <alignment horizontal="left" vertical="top"/>
    </xf>
    <xf borderId="0" fillId="0" fontId="5" numFmtId="166" xfId="0" applyAlignment="1" applyFont="1" applyNumberFormat="1">
      <alignment horizontal="left" vertical="top"/>
    </xf>
    <xf borderId="0" fillId="0" fontId="5" numFmtId="169" xfId="0" applyAlignment="1" applyFont="1" applyNumberFormat="1">
      <alignment horizontal="right" vertical="top"/>
    </xf>
    <xf borderId="0" fillId="0" fontId="5" numFmtId="1" xfId="0" applyAlignment="1" applyFont="1" applyNumberFormat="1">
      <alignment horizontal="left" vertical="top"/>
    </xf>
    <xf borderId="0" fillId="0" fontId="5" numFmtId="3" xfId="0" applyAlignment="1" applyFont="1" applyNumberFormat="1">
      <alignment horizontal="left" vertical="top"/>
    </xf>
    <xf borderId="1" fillId="2" fontId="8" numFmtId="0" xfId="0" applyAlignment="1" applyBorder="1" applyFill="1" applyFont="1">
      <alignment vertical="bottom"/>
    </xf>
    <xf borderId="1" fillId="3" fontId="10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2" fillId="4" fontId="4" numFmtId="0" xfId="0" applyAlignment="1" applyBorder="1" applyFill="1" applyFont="1">
      <alignment vertical="bottom"/>
    </xf>
    <xf borderId="0" fillId="5" fontId="4" numFmtId="169" xfId="0" applyAlignment="1" applyFill="1" applyFont="1" applyNumberFormat="1">
      <alignment horizontal="right" vertical="bottom"/>
    </xf>
    <xf borderId="0" fillId="6" fontId="4" numFmtId="169" xfId="0" applyAlignment="1" applyFill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7" fontId="4" numFmtId="169" xfId="0" applyAlignment="1" applyFill="1" applyFont="1" applyNumberFormat="1">
      <alignment horizontal="right" vertical="bottom"/>
    </xf>
    <xf borderId="0" fillId="8" fontId="4" numFmtId="169" xfId="0" applyAlignment="1" applyFill="1" applyFont="1" applyNumberFormat="1">
      <alignment horizontal="right" vertical="bottom"/>
    </xf>
    <xf borderId="0" fillId="9" fontId="4" numFmtId="169" xfId="0" applyAlignment="1" applyFill="1" applyFont="1" applyNumberFormat="1">
      <alignment horizontal="right" vertical="bottom"/>
    </xf>
    <xf borderId="0" fillId="10" fontId="4" numFmtId="169" xfId="0" applyAlignment="1" applyFill="1" applyFont="1" applyNumberFormat="1">
      <alignment horizontal="right" vertical="bottom"/>
    </xf>
    <xf borderId="0" fillId="11" fontId="4" numFmtId="169" xfId="0" applyAlignment="1" applyFill="1" applyFont="1" applyNumberFormat="1">
      <alignment horizontal="right" vertical="bottom"/>
    </xf>
    <xf borderId="0" fillId="12" fontId="4" numFmtId="169" xfId="0" applyAlignment="1" applyFill="1" applyFont="1" applyNumberFormat="1">
      <alignment horizontal="right" vertical="bottom"/>
    </xf>
    <xf borderId="0" fillId="13" fontId="4" numFmtId="169" xfId="0" applyAlignment="1" applyFill="1" applyFont="1" applyNumberFormat="1">
      <alignment horizontal="right" vertical="bottom"/>
    </xf>
    <xf borderId="0" fillId="14" fontId="4" numFmtId="169" xfId="0" applyAlignment="1" applyFill="1" applyFont="1" applyNumberFormat="1">
      <alignment horizontal="right" vertical="bottom"/>
    </xf>
    <xf borderId="0" fillId="15" fontId="4" numFmtId="169" xfId="0" applyAlignment="1" applyFill="1" applyFont="1" applyNumberFormat="1">
      <alignment horizontal="right" vertical="bottom"/>
    </xf>
    <xf borderId="0" fillId="16" fontId="4" numFmtId="169" xfId="0" applyAlignment="1" applyFill="1" applyFont="1" applyNumberFormat="1">
      <alignment horizontal="right" vertical="bottom"/>
    </xf>
    <xf borderId="0" fillId="17" fontId="4" numFmtId="166" xfId="0" applyAlignment="1" applyFill="1" applyFont="1" applyNumberFormat="1">
      <alignment horizontal="right" vertical="bottom"/>
    </xf>
    <xf borderId="0" fillId="18" fontId="4" numFmtId="166" xfId="0" applyAlignment="1" applyFill="1" applyFont="1" applyNumberFormat="1">
      <alignment horizontal="right" vertical="bottom"/>
    </xf>
    <xf borderId="0" fillId="19" fontId="4" numFmtId="166" xfId="0" applyAlignment="1" applyFill="1" applyFont="1" applyNumberFormat="1">
      <alignment horizontal="right" vertical="bottom"/>
    </xf>
    <xf borderId="0" fillId="20" fontId="4" numFmtId="166" xfId="0" applyAlignment="1" applyFill="1" applyFont="1" applyNumberFormat="1">
      <alignment horizontal="right" vertical="bottom"/>
    </xf>
    <xf borderId="0" fillId="21" fontId="4" numFmtId="166" xfId="0" applyAlignment="1" applyFill="1" applyFont="1" applyNumberFormat="1">
      <alignment horizontal="right" vertical="bottom"/>
    </xf>
    <xf borderId="0" fillId="22" fontId="4" numFmtId="166" xfId="0" applyAlignment="1" applyFill="1" applyFont="1" applyNumberFormat="1">
      <alignment horizontal="right" vertical="bottom"/>
    </xf>
    <xf borderId="0" fillId="23" fontId="4" numFmtId="166" xfId="0" applyAlignment="1" applyFill="1" applyFont="1" applyNumberFormat="1">
      <alignment horizontal="right" vertical="bottom"/>
    </xf>
    <xf borderId="0" fillId="24" fontId="4" numFmtId="166" xfId="0" applyAlignment="1" applyFill="1" applyFont="1" applyNumberFormat="1">
      <alignment horizontal="right" vertical="bottom"/>
    </xf>
    <xf borderId="0" fillId="0" fontId="1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pivotCacheDefinition" Target="pivotCache/pivotCacheDefinition2.xml"/><Relationship Id="rId12" Type="http://schemas.openxmlformats.org/officeDocument/2006/relationships/worksheet" Target="worksheets/sheet8.xml"/><Relationship Id="rId34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1.xml"/><Relationship Id="rId37" Type="http://schemas.openxmlformats.org/officeDocument/2006/relationships/pivotCacheDefinition" Target="pivotCache/pivotCacheDefinition4.xml"/><Relationship Id="rId14" Type="http://schemas.openxmlformats.org/officeDocument/2006/relationships/worksheet" Target="worksheets/sheet10.xml"/><Relationship Id="rId36" Type="http://schemas.openxmlformats.org/officeDocument/2006/relationships/pivotCacheDefinition" Target="pivotCache/pivotCacheDefinition3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pivotCacheDefinition" Target="pivotCache/pivotCacheDefinition5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17" sheet="water_pollution"/>
  </cacheSource>
  <cacheFields>
    <cacheField name="region" numFmtId="0">
      <sharedItems containsBlank="1">
        <s v="г. Астана"/>
        <s v="Костанайская"/>
        <s v="Акмолинская"/>
        <s v="Карагандинская"/>
        <s v="Область Улытау"/>
        <s v="Восточно-Казахстанская"/>
        <s v="Северо-Казахстанская"/>
        <m/>
      </sharedItems>
    </cacheField>
    <cacheField name="city" numFmtId="0">
      <sharedItems containsBlank="1">
        <s v="г. Астана"/>
        <s v="c. Гришенка"/>
        <s v="пос. Аккарга"/>
        <s v="г. Костанай"/>
        <s v="с. Варваринка"/>
        <s v="пос. Аксуат"/>
        <s v="пос. Чайковское"/>
        <s v="с. Уйское"/>
        <s v="с. Коргалжын"/>
        <s v="с. Шешенкара"/>
        <s v="г. Темиртау"/>
        <s v="с. Актобе"/>
        <s v="с. Акмешит"/>
        <s v="с. Жана Талап"/>
        <s v="пос. Нура"/>
        <s v="с. Р. Кошкарбаева "/>
        <s v="пос. Сабынды"/>
        <s v="г. Жезказган"/>
        <s v="с. Каражар"/>
        <s v="с. Асыл"/>
        <s v="г. Риддер"/>
        <s v="г. Усть-Каменогорск"/>
        <s v="г. Шемонаиха"/>
        <s v="п. Белоусовка"/>
        <s v="с. Предгорное"/>
        <s v="с. Покровка"/>
        <s v="г. Петропавловск"/>
        <s v="с. Долматово"/>
        <s v="г. Сергеевка"/>
        <m/>
      </sharedItems>
    </cacheField>
    <cacheField name="water_body" numFmtId="0">
      <sharedItems containsBlank="1">
        <s v="река Акбулак, 0,5 км выше выпуска промывных вод насосно-фильтровальной станции (район ул. Ш. Кудайбердиева)"/>
        <s v="река  Акбулак,  0,5  км  ниже  выпуска&#10;промывных        вод        насосно-фильтровальной станции (район ул. Ш. Кудайбердиева)"/>
        <s v="река Акбулак, 0,5  км  выше выпуска очищенных ливневых вод, район ул. Акжол"/>
        <s v="река  Акбулак,  0,5  км  ниже  выпуска очищенных ливневых вод, район ул. Акжол"/>
        <s v="река Тобыл, Костанайская область, 0,2 км ниже села в створе г/п"/>
        <s v="река Тобыл, Костанайская область, 1 км к ЮВ от села в створе г/п."/>
        <s v="Милютинка, в черте села, в створе г/п"/>
        <s v="река      Тобыл,  Управление&#10;горводоканала 1 км выше сброса"/>
        <s v="река Айет, Костанайская область, 0,2 км выше села в створе г/п"/>
        <s v="река Обаган, Костанайская область, 4 км к В от села в створе г/п.4 км"/>
        <s v="река  Желкуар,  Костанайская  область,  створ &#10;0,5 км к ЮВ от села в створе г/п"/>
        <s v="река  Уй,   0,5  км  к  В  от  с.  Уйское,  в створе г/п"/>
        <s v="река Нура, Акмолинская область, 2 км ниже села"/>
        <s v="река     Нура,      Карагандинская     область, 3 км ниже с.  Шешенкара,  в  районе автодорожного моста"/>
        <s v="река Нура, 0,1 км ниже г. Темиртау, 1 км выше объединенного сброса сточных вод АО&#10;«АрселорМиттал Темиртау» и АО «ТЭМК»"/>
        <s v="река Нура, г. Темиртау, 2,1 ниже г. Темиртау, 1 км ниже объединенного сброса сточных вод АО&#10;«АрселорМиттал Темиртау» и АО «ТЭМК»"/>
        <s v="река Нура, г.Темиртау, 6,8 км ниже г.Темиртау, 5,7  км ниже объединенного  сброса  сточных  вод АО «АрселорМиттал Темиртау» и АО «ТЭМК»"/>
        <s v="река     Нура,     верхний     бьеф     Ынтумакского водохранилища 4,8 км по низкому руслу реки "/>
        <s v="река Нура, в черте села"/>
        <s v="река Нура, (бывш. с. Молодецкое), автодорожный мост в районе села"/>
        <s v="река Нура, 2.0 км ниже села"/>
        <s v="река Нура, (бывш.Романовка), 5 км ниже села"/>
        <s v="река  Нура,  Кенбидайский  гидроузе  л,  6  км  за на юг"/>
        <s v="река  Кара  Кенгир,  г.  Жезказган,  4,7  км  ниже  плотины  Кенгирского вдхр.,  0,5  км  ниже  сброса  сточных  вод     АО&#10;«ПТВС»"/>
        <s v="река Сокыр, устье, Карагандинская область&#10;автодорожный мост в районе "/>
        <s v="река   Шерубайнура,   Карагандинская   область устье, 2,0 км ниже "/>
        <s v="река Ульби, 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&#10;берег"/>
        <s v="река Ульби, Восточно-Казахстанская область, в черте п. Каменный Карьер; в створе водпоста; (01) левый берег"/>
        <s v="река  Ульби,  Восточно-Казахстанская  область,г. Усть-Каменогорск,  в  черте  города;  1  км  выше устья р.  Ульби; 0,36 км ниже льбинского моста;&#10;(01) левый берег"/>
        <s v="река Ульби, Восточно-Казахстанская область, г. Усть-Каменогорск,  в  черте  города;  1  км  выше устья р. Ульби; 0,36 км ниже Ульбинского моста;&#10;(09) правый берег"/>
        <s v="река   Ертис,   Восточно-Казахстанская   область,&#10;Усть-Каменогорск,  в  черте  города;3,2  км  ниже впадения р.Ульби; (09) правый берег"/>
        <s v="река Ертис,  Восточно-Казахстанская область, г.&#10;Усть-Каменогорск,  в  черте с.  Прапорщиково; 15 км ниже впадения руч. Бражий; (09) правый берег"/>
        <s v="река Оба, 1,8 км выше впадения р. Березовка;&#10;(09) правый берег"/>
        <s v="река   Оба,   Восточно-Казахстанская   область,г.&#10;Шемонаиха, в  черте с.  Камышенка; 4,1 км ниже впадения р. Таловка; (09) правый берег"/>
        <s v="река    Глубочанка, в    черте п.Белоусовка;0,6  км  ниже  сброса  хозяйственно- бытовых  сточных  вод  очистных  сооружений  п. Белоусовки, 0,6 км выше границы п. Белоусовка;&#10;у автодорожного моста; (09) правый берег"/>
        <s v="река Тихая, Восточно-Казахстанская область, г. Риддер,  в  черте  города  Риддер;  0,23  км  ниже гидросооружения (плотины); 8,0 км выше устья р. Тихая; (01) левый берег"/>
        <s v="река Тихая, 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&#10;берег"/>
        <s v="река Брекса, Восточно-Казахстанская область, г. Риддер,  в  черте г.  Риддер;  0,6 км выше устья  р. Брекса; (09) правый берег"/>
        <s v="река Брекса, Восточно-Казахстанская область, г. Риддер; в черте г. Риддер 0,5 км выше слияния с рекой Филипповкой;&#10;(09) правый берег"/>
        <s v="река   Есиль, 0,2   км   выше   п.&#10;Покровка"/>
        <s v="река  Есиль,  0,2  км  выше  г. Петропавловск"/>
        <s v="река  Есиль,  г.  Петропавловск,  4,8  км  ниже    г. Петропавловск, 5,8 км ниже сброса сточных вод&#10;ТЭЦ-2"/>
        <s v="река  Есиль,  0,4     км  ниже     с.&#10;Долматово; в створе водопоста"/>
        <s v="вдхр.  Сергеевское – г. Сергеевка,  1 км к ЮЮЗ&#10;от.  Г. Сергеевка; 2 м выше плотины по азимуту 950 от ОГП"/>
        <s v="река Акбулак,  г.  Астана,  0,5  км  выше выпуска промывных        вод        насосно-фильтровальной станции (район ул. Ш. Кудайбердиева)"/>
        <s v="река  Акбулак,  г.  Астана,  0,5  км  ниже  выпуска промывных        вод        насосно-фильтровальной&#10;станции (район ул. Ш. Кудайбердиева)"/>
        <s v="река Акбулак,  г.  Астана,  0,5  км  выше выпуска&#10;очищенных ливневых вод, район ул. Акжол"/>
        <s v="река  Акбулак,  г.  Астана,  0,5  км  ниже  выпуска очищенных ливневых вод, район ул. Акжол"/>
        <m/>
      </sharedItems>
    </cacheField>
    <cacheField name="HPE_EHE" numFmtId="0">
      <sharedItems containsBlank="1">
        <s v="1 ЭВЗ"/>
        <s v="1 ВЗ"/>
        <s v="1ВЗ"/>
        <s v="1  ВЗ"/>
        <s v="Для сведения"/>
        <m/>
      </sharedItems>
    </cacheField>
    <cacheField name="date" numFmtId="164">
      <sharedItems containsDate="1" containsString="0" containsBlank="1">
        <d v="2024-01-09T00:00:00Z"/>
        <d v="2024-02-05T00:00:00Z"/>
        <d v="2024-03-05T00:00:00Z"/>
        <d v="2024-06-21T00:00:00Z"/>
        <d v="2024-07-11T00:00:00Z"/>
        <d v="2024-08-07T00:00:00Z"/>
        <d v="2024-09-09T00:00:00Z"/>
        <d v="2024-01-18T00:00:00Z"/>
        <d v="2024-04-16T00:00:00Z"/>
        <d v="2024-02-02T00:00:00Z"/>
        <d v="2024-03-06T00:00:00Z"/>
        <d v="2024-04-15T00:00:00Z"/>
        <d v="2024-11-19T00:00:00Z"/>
        <d v="2024-12-13T00:00:00Z"/>
        <d v="2024-02-06T00:00:00Z"/>
        <d v="2024-04-12T00:00:00Z"/>
        <d v="2024-03-12T00:00:00Z"/>
        <d v="2024-03-01T00:00:00Z"/>
        <d v="2024-06-11T00:00:00Z"/>
        <d v="2024-02-15T00:00:00Z"/>
        <d v="2024-12-18T00:00:00Z"/>
        <d v="2024-04-01T00:00:00Z"/>
        <d v="2024-04-04T00:00:00Z"/>
        <d v="2024-07-10T00:00:00Z"/>
        <d v="2024-04-02T00:00:00Z"/>
        <d v="2024-04-08T00:00:00Z"/>
        <d v="2024-04-17T00:00:00Z"/>
        <d v="2024-05-15T00:00:00Z"/>
        <d v="2024-08-12T00:00:00Z"/>
        <d v="2024-04-03T00:00:00Z"/>
        <d v="2024-04-10T00:00:00Z"/>
        <d v="2024-04-22T00:00:00Z"/>
        <d v="2024-07-15T00:00:00Z"/>
        <d v="2024-11-14T00:00:00Z"/>
        <d v="2024-01-03T00:00:00Z"/>
        <d v="2024-02-07T00:00:00Z"/>
        <d v="2024-03-15T00:00:00Z"/>
        <d v="2024-09-11T00:00:00Z"/>
        <d v="2024-10-09T00:00:00Z"/>
        <d v="2024-11-06T00:00:00Z"/>
        <d v="2024-01-15T00:00:00Z"/>
        <d v="2024-06-05T00:00:00Z"/>
        <d v="2024-09-04T00:00:00Z"/>
        <d v="2024-10-03T00:00:00Z"/>
        <d v="2024-11-11T00:00:00Z"/>
        <d v="2024-04-05T00:00:00Z"/>
        <d v="2024-09-02T00:00:00Z"/>
        <d v="2024-03-04T00:00:00Z"/>
        <d v="2024-06-04T00:00:00Z"/>
        <d v="2024-05-05T00:00:00Z"/>
        <d v="2024-05-10T00:00:00Z"/>
        <d v="2024-05-13T00:00:00Z"/>
        <d v="2024-05-03T00:00:00Z"/>
        <m/>
      </sharedItems>
    </cacheField>
    <cacheField name="date_analysis">
      <sharedItems containsDate="1" containsBlank="1" containsMixedTypes="1">
        <d v="2024-01-10T00:00:00Z"/>
        <d v="2024-02-06T00:00:00Z"/>
        <d v="2024-03-05T00:00:00Z"/>
        <d v="2024-06-21T00:00:00Z"/>
        <d v="2024-07-11T00:00:00Z"/>
        <d v="2024-08-07T00:00:00Z"/>
        <d v="2024-09-09T00:00:00Z"/>
        <d v="2024-01-19T00:00:00Z"/>
        <d v="2024-04-17T00:00:00Z"/>
        <d v="2024-02-05T00:00:00Z"/>
        <d v="2024-03-07T00:00:00Z"/>
        <d v="2024-03-11T00:00:00Z"/>
        <d v="2024-11-21T00:00:00Z"/>
        <d v="2024-12-18T00:00:00Z"/>
        <d v="2024-02-07T00:00:00Z"/>
        <d v="2024-03-12T00:00:00Z"/>
        <d v="2024-03-04T00:00:00Z"/>
        <d v="2024-06-13T00:00:00Z"/>
        <d v="2024-02-19T00:00:00Z"/>
        <d v="2024-12-20T00:00:00Z"/>
        <d v="2024-04-05T00:00:00Z"/>
        <d v="2024-04-22T00:00:00Z"/>
        <d v="2024-07-12T00:00:00Z"/>
        <d v="2024-08-09T00:00:00Z"/>
        <s v="12.04.20224"/>
        <d v="2024-04-12T00:00:00Z"/>
        <d v="2024-05-16T00:00:00Z"/>
        <d v="2024-08-19T00:00:00Z"/>
        <d v="2024-09-19T00:00:00Z"/>
        <d v="2024-04-25T00:00:00Z"/>
        <d v="2024-07-25T00:00:00Z"/>
        <d v="2024-11-20T00:00:00Z"/>
        <d v="2024-12-24T00:00:00Z"/>
        <d v="2024-01-03T00:00:00Z"/>
        <d v="2024-01-04T00:00:00Z"/>
        <d v="2024-01-08T00:00:00Z"/>
        <d v="2024-02-08T00:00:00Z"/>
        <d v="2024-02-12T00:00:00Z"/>
        <d v="2024-03-18T00:00:00Z"/>
        <d v="2024-03-20T00:00:00Z"/>
        <d v="2024-04-04T00:00:00Z"/>
        <d v="2024-09-11T00:00:00Z"/>
        <d v="2024-09-16T00:00:00Z"/>
        <d v="2024-10-09T00:00:00Z"/>
        <d v="2024-10-14T00:00:00Z"/>
        <d v="2024-11-06T00:00:00Z"/>
        <d v="2024-11-11T00:00:00Z"/>
        <d v="2024-01-16T00:00:00Z"/>
        <d v="2024-06-06T00:00:00Z"/>
        <d v="2024-09-05T00:00:00Z"/>
        <d v="2024-10-04T00:00:00Z"/>
        <d v="2024-11-12T00:00:00Z"/>
        <d v="2024-11-13T00:00:00Z"/>
        <d v="2024-04-03T00:00:00Z"/>
        <d v="2024-09-04T00:00:00Z"/>
        <d v="2024-03-06T00:00:00Z"/>
        <d v="2024-01-05T00:00:00Z"/>
        <d v="2024-06-05T00:00:00Z"/>
        <d v="2024-09-03T00:00:00Z"/>
        <d v="2024-05-15T00:00:00Z"/>
        <d v="2024-04-15T00:00:00Z"/>
        <d v="2024-08-08T00:00:00Z"/>
        <m/>
      </sharedItems>
    </cacheField>
    <cacheField name="substance_name" numFmtId="0">
      <sharedItems containsBlank="1">
        <s v="Растворенный кислород"/>
        <s v="Аммоний-ион"/>
        <s v="Железо общее"/>
        <s v="Хлориды"/>
        <s v="Сульфаты"/>
        <s v="Магний"/>
        <s v="Кальций"/>
        <s v="Минерализация"/>
        <s v="Марганец"/>
        <s v="Никель"/>
        <s v="БПК5"/>
        <s v="Жеклезо общее"/>
        <s v="Общее железо"/>
        <s v="Фосфор общий"/>
        <s v="Нитрат-ион"/>
        <s v="Аммоний ион"/>
        <s v="Нитрит-ион"/>
        <s v="ХПК"/>
        <s v="Марганец (2+)"/>
        <s v="Кадмий (2+)"/>
        <s v="Кадмий"/>
        <s v="Сероводород"/>
        <m/>
      </sharedItems>
    </cacheField>
    <cacheField name="unit_measure" numFmtId="0">
      <sharedItems containsBlank="1">
        <s v="мг/дм3"/>
        <m/>
      </sharedItems>
    </cacheField>
    <cacheField name="concentration" numFmtId="2">
      <sharedItems containsString="0" containsBlank="1" containsNumber="1">
        <n v="1.14"/>
        <n v="1.37"/>
        <n v="2.29"/>
        <n v="0.0"/>
        <n v="2.28"/>
        <n v="0.92"/>
        <n v="1.34"/>
        <n v="2.81"/>
        <n v="1.6"/>
        <n v="6.17"/>
        <n v="0.5"/>
        <n v="4608.5"/>
        <n v="2219.0"/>
        <n v="608.0"/>
        <n v="501.0"/>
        <n v="10820.1"/>
        <n v="4332.0"/>
        <n v="2286.2"/>
        <n v="638.4"/>
        <n v="6.47"/>
        <n v="10468.3"/>
        <n v="1.959"/>
        <n v="0.84"/>
        <n v="3659.9"/>
        <n v="3227.6"/>
        <n v="802.6"/>
        <n v="681.4"/>
        <n v="0.83"/>
        <n v="0.197"/>
        <n v="10560.9"/>
        <n v="0.55"/>
        <n v="1825.1"/>
        <n v="470.9"/>
        <n v="1944.3"/>
        <n v="1.03"/>
        <n v="0.623"/>
        <n v="6.53"/>
        <n v="2.67"/>
        <n v="0.37"/>
        <n v="1.76"/>
        <n v="1769.7"/>
        <n v="2036.5"/>
        <n v="285.8"/>
        <n v="330.7"/>
        <n v="6065.7"/>
        <n v="316.2"/>
        <n v="240.5"/>
        <n v="2.538"/>
        <n v="1.83"/>
        <n v="310.1"/>
        <n v="1734.8"/>
        <n v="320.6"/>
        <n v="0.82"/>
        <n v="0.57"/>
        <n v="499.8"/>
        <n v="100.3"/>
        <n v="2079.2"/>
        <n v="0.141"/>
        <n v="0.126"/>
        <n v="0.14"/>
        <n v="535.0"/>
        <n v="415.0"/>
        <n v="1.05"/>
        <n v="0.69"/>
        <n v="0.36"/>
        <n v="0.108"/>
        <n v="0.115"/>
        <n v="0.72"/>
        <n v="0.54"/>
        <n v="0.131"/>
        <n v="0.45"/>
        <n v="0.77"/>
        <n v="0.78"/>
        <n v="0.49"/>
        <n v="0.53"/>
        <n v="0.152"/>
        <n v="0.42"/>
        <n v="0.9"/>
        <n v="0.154"/>
        <n v="0.38"/>
        <n v="0.229"/>
        <n v="0.168"/>
        <n v="0.48"/>
        <n v="0.61"/>
        <n v="0.58"/>
        <n v="0.18"/>
        <n v="0.41"/>
        <n v="0.44"/>
        <n v="0.187"/>
        <n v="0.153"/>
        <n v="0.158"/>
        <n v="0.138"/>
        <n v="0.172"/>
        <n v="2.72"/>
        <n v="3.204"/>
        <n v="0.349"/>
        <n v="11.2"/>
        <n v="2.61"/>
        <n v="3.252"/>
        <n v="0.359"/>
        <n v="12.4"/>
        <n v="3.242"/>
        <n v="0.354"/>
        <n v="17.6"/>
        <n v="0.518"/>
        <n v="2.95"/>
        <n v="13.0"/>
        <n v="2.63"/>
        <n v="1.204"/>
        <n v="2.88"/>
        <n v="12.6"/>
        <n v="8.74"/>
        <n v="48.3"/>
        <n v="15.2"/>
        <n v="8.22"/>
        <n v="39.4"/>
        <n v="406.0"/>
        <n v="389.0"/>
        <n v="0.195"/>
        <n v="0.212"/>
        <n v="379.0"/>
        <n v="0.205"/>
        <n v="10.2"/>
        <n v="46.5"/>
        <n v="0.231"/>
        <n v="10.8"/>
        <n v="54.2"/>
        <n v="15.1"/>
        <n v="7.57"/>
        <n v="0.68"/>
        <n v="1.993"/>
        <n v="410.0"/>
        <n v="2.79"/>
        <n v="416.0"/>
        <n v="1.882"/>
        <n v="0.39"/>
        <n v="0.237"/>
        <n v="2.023"/>
        <n v="37.4"/>
        <n v="1.844"/>
        <n v="375.0"/>
        <n v="0.193"/>
        <n v="1.965"/>
        <n v="38.5"/>
        <n v="10.1"/>
        <n v="1.886"/>
        <n v="0.206"/>
        <n v="0.234"/>
        <n v="0.85"/>
        <n v="0.74"/>
        <n v="0.43"/>
        <n v="0.81"/>
        <n v="0.112"/>
        <n v="0.207"/>
        <n v="0.02"/>
        <n v="1.122"/>
        <n v="0.473"/>
        <n v="0.017"/>
        <n v="0.162"/>
        <n v="0.56"/>
        <n v="0.34"/>
        <n v="0.52"/>
        <n v="0.46"/>
        <n v="0.47"/>
        <n v="0.35"/>
        <n v="1.04"/>
        <n v="0.73"/>
        <n v="0.67"/>
        <n v="0.76"/>
        <n v="0.146"/>
        <n v="0.006"/>
        <n v="0.012"/>
        <n v="0.419"/>
        <n v="0.173"/>
        <n v="0.051"/>
        <n v="0.049"/>
        <n v="0.202"/>
        <n v="0.2"/>
        <n v="0.695"/>
        <n v="0.787"/>
        <n v="0.639"/>
        <m/>
      </sharedItems>
    </cacheField>
    <cacheField name="year" numFmtId="0">
      <sharedItems containsString="0" containsBlank="1" containsNumber="1" containsInteger="1">
        <n v="2024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8" sheet="soil_pollution"/>
  </cacheSource>
  <cacheFields>
    <cacheField name="region" numFmtId="0">
      <sharedItems>
        <s v="Карагандинская"/>
        <s v="Область Улытау"/>
        <s v="г. Алматы"/>
        <s v="Восточно-Казахстанская"/>
        <s v="Область Абай"/>
        <s v="Кызылординская"/>
        <s v="Область Жетысу"/>
        <s v="Жамбылская"/>
        <s v="Павлодарская"/>
        <s v="г. Шымкент"/>
        <s v="Туркестанская"/>
        <s v="Костанайская"/>
        <s v="Северо-Казахстанская"/>
      </sharedItems>
    </cacheField>
    <cacheField name="city" numFmtId="0">
      <sharedItems>
        <s v="г. Темиртау"/>
        <s v="г. Балхаш"/>
        <s v="г. Жезказган"/>
        <s v="г. Алматы"/>
        <s v="г. Усть-Каменогорск"/>
        <s v="г. Риддер"/>
        <s v="г. Семей"/>
        <s v="г. Кызылорда"/>
        <s v="пос. Куланды"/>
        <s v="г. Талдыкорган"/>
        <s v="г. Текели"/>
        <s v="г. Жаркент"/>
        <s v="г. Тараз"/>
        <s v="с. Кордай"/>
        <s v="г. Экибастуз"/>
        <s v="г. Аксу"/>
        <s v="г. Шымкент"/>
        <s v="г. Туркестан"/>
        <s v="г. Кентау"/>
        <s v="г. Костанай"/>
        <s v="г. Аркалык"/>
        <s v="г. Петропавловск"/>
        <s v="пос. Жетикара"/>
        <s v="г. Лисаковск"/>
      </sharedItems>
    </cacheField>
    <cacheField name="exceedance_MPC" numFmtId="0">
      <sharedItems containsSemiMixedTypes="0" containsString="0" containsNumber="1">
        <n v="8.02"/>
        <n v="17.9"/>
        <n v="18.3"/>
        <n v="2.4"/>
        <n v="6.96"/>
        <n v="2.5"/>
        <n v="40.7"/>
        <n v="2.23"/>
        <n v="1.16"/>
        <n v="5.75"/>
        <n v="2.21"/>
        <n v="15.5"/>
        <n v="3.05"/>
        <n v="1.78"/>
        <n v="1.95"/>
        <n v="1.4"/>
        <n v="1.1"/>
        <n v="1.14"/>
        <n v="1.5"/>
        <n v="1.2"/>
        <n v="1.11"/>
        <n v="1.03"/>
        <n v="1.01"/>
        <n v="1.37"/>
        <n v="1.05"/>
      </sharedItems>
    </cacheField>
    <cacheField name="year" numFmtId="0">
      <sharedItems containsSemiMixedTypes="0" containsString="0" containsNumber="1" containsInteger="1">
        <n v="2024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1" sheet="cancer_per_100"/>
  </cacheSource>
  <cacheFields>
    <cacheField name="region" numFmtId="0">
      <sharedItems>
        <s v="Область Абай"/>
        <s v="Акмолинская"/>
        <s v="Актюбинская"/>
        <s v="Алматинская"/>
        <s v="Атырауская"/>
        <s v="Западно-Казахстанская"/>
        <s v="Жамбылская"/>
        <s v="Область Жетысу"/>
        <s v="Карагандинская"/>
        <s v="Костанайская"/>
        <s v="Кызылординская"/>
        <s v="Мангыстауская"/>
        <s v="Павлодарская"/>
        <s v="Северо-Казахстанская"/>
        <s v="Туркестанская"/>
        <s v="Область Улытау"/>
        <s v="Восточно-Казахстанская"/>
        <s v="г. Астана"/>
        <s v="г. Алматы"/>
        <s v="г. Шымкент"/>
      </sharedItems>
    </cacheField>
    <cacheField name="rural_incidence_per_100" numFmtId="166">
      <sharedItems containsSemiMixedTypes="0" containsString="0" containsNumber="1">
        <n v="220.9"/>
        <n v="306.2"/>
        <n v="273.3"/>
        <n v="146.1"/>
        <n v="163.7"/>
        <n v="222.0"/>
        <n v="110.0"/>
        <n v="209.7"/>
        <n v="233.3"/>
        <n v="258.8"/>
        <n v="68.2"/>
        <n v="87.3"/>
        <n v="244.6"/>
        <n v="330.0"/>
        <n v="0.0"/>
        <n v="139.4"/>
        <n v="355.2"/>
      </sharedItems>
    </cacheField>
    <cacheField name="urban_incidence_per_100" numFmtId="166">
      <sharedItems containsSemiMixedTypes="0" containsString="0" containsNumber="1">
        <n v="302.4"/>
        <n v="217.8"/>
        <n v="168.8"/>
        <n v="110.2"/>
        <n v="157.3"/>
        <n v="244.2"/>
        <n v="167.9"/>
        <n v="175.4"/>
        <n v="353.5"/>
        <n v="352.7"/>
        <n v="271.2"/>
        <n v="181.9"/>
        <n v="351.6"/>
        <n v="364.0"/>
        <n v="401.1"/>
        <n v="204.4"/>
        <n v="349.4"/>
        <n v="201.1"/>
        <n v="230.4"/>
        <n v="122.3"/>
      </sharedItems>
    </cacheField>
    <cacheField name="year" numFmtId="0">
      <sharedItems containsSemiMixedTypes="0" containsString="0" containsNumber="1" containsInteger="1">
        <n v="2024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1" sheet="death_rate"/>
  </cacheSource>
  <cacheFields>
    <cacheField name="region" numFmtId="0">
      <sharedItems>
        <s v="Область Абай"/>
        <s v="Акмолинская"/>
        <s v="Актюбинская"/>
        <s v="Алматинская"/>
        <s v="Атырауская"/>
        <s v="Западно-Казахстанская"/>
        <s v="Жамбылская"/>
        <s v="Область Жетысу"/>
        <s v="Карагандинская"/>
        <s v="Костанайская"/>
        <s v="Кызылординская"/>
        <s v="Мангыстауская"/>
        <s v="Павлодарская"/>
        <s v="Северо-Казахстанская"/>
        <s v="Туркестанская"/>
        <s v="Область Улытау"/>
        <s v="Восточно-Казахстанская"/>
        <s v="г. Астана"/>
        <s v="г. Алматы"/>
        <s v="г. Шымкент"/>
      </sharedItems>
    </cacheField>
    <cacheField name="death_per_100" numFmtId="166">
      <sharedItems containsSemiMixedTypes="0" containsString="0" containsNumber="1">
        <n v="114.7"/>
        <n v="87.6"/>
        <n v="52.9"/>
        <n v="47.4"/>
        <n v="44.2"/>
        <n v="83.9"/>
        <n v="55.4"/>
        <n v="51.1"/>
        <n v="77.7"/>
        <n v="79.2"/>
        <n v="48.7"/>
        <n v="45.2"/>
        <n v="101.8"/>
        <n v="97.1"/>
        <n v="31.3"/>
        <n v="77.2"/>
        <n v="110.8"/>
        <n v="66.9"/>
        <n v="60.0"/>
      </sharedItems>
    </cacheField>
    <cacheField name="year" numFmtId="0">
      <sharedItems containsSemiMixedTypes="0" containsString="0" containsNumber="1" containsInteger="1">
        <n v="2024.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1" sheet="medical_care_availability"/>
  </cacheSource>
  <cacheFields>
    <cacheField name="region" numFmtId="0">
      <sharedItems>
        <s v="Область Абай"/>
        <s v="Акмолинская"/>
        <s v="Актюбинская"/>
        <s v="Алматинская"/>
        <s v="Атырауская"/>
        <s v="Западно-Казахстанская"/>
        <s v="Жамбылская"/>
        <s v="Область Жетысу"/>
        <s v="Карагандинская"/>
        <s v="Костанайская"/>
        <s v="Кызылординская"/>
        <s v="Мангыстауская"/>
        <s v="Павлодарская"/>
        <s v="Северо-Казахстанская"/>
        <s v="Туркестанская"/>
        <s v="Область Улытау"/>
        <s v="Восточно-Казахстанская"/>
        <s v="г. Астана"/>
        <s v="г. Алматы"/>
        <s v="г. Шымкент"/>
      </sharedItems>
    </cacheField>
    <cacheField name="oncology clinics" numFmtId="1">
      <sharedItems containsSemiMixedTypes="0" containsString="0" containsNumber="1" containsInteger="1">
        <n v="14.0"/>
        <n v="20.0"/>
        <n v="16.0"/>
        <n v="25.0"/>
        <n v="17.0"/>
        <n v="13.0"/>
        <n v="23.0"/>
        <n v="24.0"/>
        <n v="10.0"/>
        <n v="15.0"/>
        <n v="18.0"/>
        <n v="35.0"/>
        <n v="5.0"/>
        <n v="19.0"/>
        <n v="39.0"/>
      </sharedItems>
    </cacheField>
    <cacheField name="oncologists_per_100" numFmtId="166">
      <sharedItems containsSemiMixedTypes="0" containsString="0" containsNumber="1">
        <n v="1.0"/>
        <n v="0.4"/>
        <n v="0.7"/>
        <n v="0.3"/>
        <n v="0.8"/>
        <n v="0.5"/>
        <n v="0.2"/>
        <n v="1.1"/>
        <n v="1.2"/>
      </sharedItems>
    </cacheField>
    <cacheField name="oncology beds_per_100" numFmtId="166">
      <sharedItems containsSemiMixedTypes="0" containsString="0" containsNumber="1">
        <n v="2.2"/>
        <n v="1.5"/>
        <n v="1.4"/>
        <n v="0.3"/>
        <n v="1.8"/>
        <n v="0.9"/>
        <n v="2.4"/>
        <n v="1.7"/>
        <n v="1.3"/>
        <n v="1.9"/>
        <n v="2.3"/>
        <n v="0.5"/>
        <n v="1.2"/>
      </sharedItems>
    </cacheField>
    <cacheField name="year" numFmtId="0">
      <sharedItems containsSemiMixedTypes="0" containsString="0" containsNumber="1" containsInteger="1">
        <n v="202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water_impurities" cacheId="0" dataCaption="" rowGrandTotals="0" colGrandTotals="0" compact="0" compactData="0">
  <location ref="A1:D23" firstHeaderRow="0" firstDataRow="1" firstDataCol="1"/>
  <pivotFields>
    <pivotField name="region" axis="axisCol" compact="0" outline="0" multipleItemSelectionAllowed="1" showAll="0" sortType="ascending">
      <items>
        <item h="1" x="7"/>
        <item h="1" x="2"/>
        <item x="5"/>
        <item h="1" x="0"/>
        <item x="3"/>
        <item x="1"/>
        <item h="1" x="4"/>
        <item h="1" x="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ater_bod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HPE_EH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ate_analys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substance_name" axis="axisRow" dataField="1" compact="0" outline="0" multipleItemSelectionAllowed="1" showAll="0" sortType="ascending">
      <items>
        <item x="22"/>
        <item x="15"/>
        <item x="1"/>
        <item x="10"/>
        <item x="11"/>
        <item x="2"/>
        <item x="20"/>
        <item x="19"/>
        <item x="6"/>
        <item x="5"/>
        <item x="8"/>
        <item x="18"/>
        <item x="7"/>
        <item x="9"/>
        <item x="14"/>
        <item x="16"/>
        <item x="12"/>
        <item x="0"/>
        <item x="21"/>
        <item x="4"/>
        <item x="13"/>
        <item x="3"/>
        <item x="17"/>
        <item t="default"/>
      </items>
    </pivotField>
    <pivotField name="unit_measure" compact="0" outline="0" multipleItemSelectionAllowed="1" showAll="0">
      <items>
        <item x="0"/>
        <item x="1"/>
        <item t="default"/>
      </items>
    </pivotField>
    <pivotField name="concentration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</pivotFields>
  <rowFields>
    <field x="6"/>
  </rowFields>
  <colFields>
    <field x="0"/>
  </colFields>
  <dataFields>
    <dataField name="COUNTA of substance_name" fld="6" subtotal="count" baseField="0"/>
  </dataFields>
</pivotTableDefinition>
</file>

<file path=xl/pivotTables/pivotTable2.xml><?xml version="1.0" encoding="utf-8"?>
<pivotTableDefinition xmlns="http://schemas.openxmlformats.org/spreadsheetml/2006/main" name="soil_anti_leaders" cacheId="1" dataCaption="" rowGrandTotals="0" colGrandTotals="0" compact="0" compactData="0">
  <location ref="I16:J19" firstHeaderRow="0" firstDataRow="1" firstDataCol="1"/>
  <pivotFields>
    <pivotField name="region" axis="axisCol" compact="0" outline="0" multipleItemSelectionAllowed="1" showAll="0" sortType="ascending">
      <items>
        <item x="3"/>
        <item h="1" x="2"/>
        <item h="1" x="9"/>
        <item h="1" x="7"/>
        <item h="1" x="0"/>
        <item h="1" x="11"/>
        <item h="1" x="5"/>
        <item h="1" x="4"/>
        <item h="1" x="6"/>
        <item h="1" x="1"/>
        <item h="1" x="8"/>
        <item h="1" x="12"/>
        <item h="1" x="10"/>
        <item t="default"/>
      </items>
    </pivotField>
    <pivotField name="city" axis="axisRow" compact="0" outline="0" multipleItemSelectionAllowed="1" showAll="0" sortType="ascending">
      <items>
        <item x="15"/>
        <item x="3"/>
        <item x="20"/>
        <item x="1"/>
        <item x="11"/>
        <item x="2"/>
        <item x="18"/>
        <item x="19"/>
        <item x="7"/>
        <item x="23"/>
        <item x="21"/>
        <item x="5"/>
        <item x="6"/>
        <item x="9"/>
        <item x="12"/>
        <item x="10"/>
        <item x="0"/>
        <item x="17"/>
        <item x="4"/>
        <item x="16"/>
        <item x="14"/>
        <item x="22"/>
        <item x="8"/>
        <item x="13"/>
        <item t="default"/>
      </items>
    </pivotField>
    <pivotField name="exceedance_MP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year" compact="0" outline="0" multipleItemSelectionAllowed="1" showAll="0">
      <items>
        <item x="0"/>
        <item t="default"/>
      </items>
    </pivotField>
  </pivotFields>
  <rowFields>
    <field x="1"/>
  </rowFields>
  <colFields>
    <field x="0"/>
  </colFields>
  <dataFields>
    <dataField name="MAX of exceedance_MPC" fld="2" subtotal="max" baseField="0"/>
  </dataFields>
</pivotTableDefinition>
</file>

<file path=xl/pivotTables/pivotTable3.xml><?xml version="1.0" encoding="utf-8"?>
<pivotTableDefinition xmlns="http://schemas.openxmlformats.org/spreadsheetml/2006/main" name="cancer_rural_urban" cacheId="2" dataCaption="" rowGrandTotals="0" compact="0" compactData="0">
  <location ref="E1:F21" firstHeaderRow="0" firstDataRow="1" firstDataCol="0"/>
  <pivotFields>
    <pivotField name="reg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ural_incidence_per_100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urban_incidence_per_10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" compact="0" outline="0" multipleItemSelectionAllowed="1" showAll="0">
      <items>
        <item x="0"/>
        <item t="default"/>
      </items>
    </pivotField>
  </pivotFields>
  <rowFields>
    <field x="0"/>
  </rowFields>
  <dataFields>
    <dataField name="SUM of urban_incidence_per_100" fld="2" baseField="0"/>
  </dataFields>
</pivotTableDefinition>
</file>

<file path=xl/pivotTables/pivotTable4.xml><?xml version="1.0" encoding="utf-8"?>
<pivotTableDefinition xmlns="http://schemas.openxmlformats.org/spreadsheetml/2006/main" name="death_anti_leaders" cacheId="3" dataCaption="" rowGrandTotals="0" compact="0" compactData="0">
  <location ref="A1:B21" firstHeaderRow="0" firstDataRow="1" firstDataCol="0"/>
  <pivotFields>
    <pivotField name="reg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ath_per_10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" compact="0" outline="0" multipleItemSelectionAllowed="1" showAll="0">
      <items>
        <item x="0"/>
        <item t="default"/>
      </items>
    </pivotField>
  </pivotFields>
  <rowFields>
    <field x="0"/>
  </rowFields>
  <dataFields>
    <dataField name="SUM of death_per_100" fld="1" baseField="0"/>
  </dataFields>
</pivotTableDefinition>
</file>

<file path=xl/pivotTables/pivotTable5.xml><?xml version="1.0" encoding="utf-8"?>
<pivotTableDefinition xmlns="http://schemas.openxmlformats.org/spreadsheetml/2006/main" name="medical_care_statistics" cacheId="4" dataCaption="" rowGrandTotals="0" compact="0" compactData="0">
  <location ref="A1:D21" firstHeaderRow="0" firstDataRow="2" firstDataCol="0"/>
  <pivotFields>
    <pivotField name="reg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oncology clinic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ncologists_per_10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ncology beds_per_100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year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oncology clinics" fld="1" baseField="0"/>
    <dataField name="SUM of oncologists_per_100" fld="2" baseField="0"/>
    <dataField name="SUM of oncology beds_per_100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4" width="18.88"/>
    <col customWidth="1" min="5" max="5" width="14.63"/>
    <col customWidth="1" min="6" max="6" width="9.38"/>
    <col customWidth="1" min="7" max="7" width="43.38"/>
    <col customWidth="1" min="8" max="8" width="22.0"/>
    <col customWidth="1" min="9" max="9" width="16.88"/>
    <col customWidth="1" min="10" max="10" width="14.63"/>
    <col customWidth="1" min="11" max="11" width="11.63"/>
    <col customWidth="1" min="12" max="12" width="13.63"/>
    <col customWidth="1" min="13" max="13" width="22.75"/>
    <col customWidth="1" min="14" max="28" width="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4" t="s">
        <v>14</v>
      </c>
      <c r="P1" s="4" t="s">
        <v>14</v>
      </c>
      <c r="Q1" s="4" t="s">
        <v>14</v>
      </c>
      <c r="R1" s="4" t="s">
        <v>14</v>
      </c>
      <c r="S1" s="4" t="s">
        <v>14</v>
      </c>
      <c r="T1" s="4" t="s">
        <v>14</v>
      </c>
      <c r="U1" s="4" t="s">
        <v>14</v>
      </c>
      <c r="V1" s="4" t="s">
        <v>14</v>
      </c>
      <c r="W1" s="4" t="s">
        <v>14</v>
      </c>
      <c r="X1" s="4" t="s">
        <v>14</v>
      </c>
      <c r="Y1" s="4" t="s">
        <v>14</v>
      </c>
      <c r="Z1" s="4" t="s">
        <v>14</v>
      </c>
      <c r="AA1" s="4" t="s">
        <v>14</v>
      </c>
      <c r="AB1" s="4" t="s">
        <v>14</v>
      </c>
    </row>
    <row r="2" ht="15.75" customHeight="1">
      <c r="A2" s="5" t="s">
        <v>15</v>
      </c>
      <c r="B2" s="6" t="str">
        <f t="array" ref="B2">XLOOKUP(C2,city_to_region!$B$5:$B$96,city_to_region!$A$5:$A$96)</f>
        <v>г. Астана</v>
      </c>
      <c r="C2" s="6" t="s">
        <v>16</v>
      </c>
      <c r="D2" s="6" t="s">
        <v>17</v>
      </c>
      <c r="E2" s="7">
        <v>45556.0</v>
      </c>
      <c r="F2" s="6" t="s">
        <v>18</v>
      </c>
      <c r="G2" s="8" t="s">
        <v>19</v>
      </c>
      <c r="H2" s="9" t="s">
        <v>20</v>
      </c>
      <c r="I2" s="9">
        <v>10.9</v>
      </c>
      <c r="J2" s="10">
        <v>214.0</v>
      </c>
      <c r="K2" s="9" t="s">
        <v>21</v>
      </c>
      <c r="L2" s="9" t="s">
        <v>22</v>
      </c>
      <c r="M2" s="9" t="s">
        <v>23</v>
      </c>
      <c r="N2" s="11">
        <v>2024.0</v>
      </c>
    </row>
    <row r="3" ht="22.5" customHeight="1">
      <c r="A3" s="5" t="s">
        <v>15</v>
      </c>
      <c r="B3" s="6" t="str">
        <f t="array" ref="B3">XLOOKUP(C3,city_to_region!$B$5:$B$96,city_to_region!$A$5:$A$96)</f>
        <v>г. Астана</v>
      </c>
      <c r="C3" s="6" t="s">
        <v>16</v>
      </c>
      <c r="D3" s="6" t="s">
        <v>24</v>
      </c>
      <c r="E3" s="7">
        <v>45556.0</v>
      </c>
      <c r="F3" s="6" t="s">
        <v>25</v>
      </c>
      <c r="G3" s="8" t="s">
        <v>26</v>
      </c>
      <c r="H3" s="9" t="s">
        <v>27</v>
      </c>
      <c r="I3" s="9">
        <v>11.3</v>
      </c>
      <c r="J3" s="10">
        <v>210.0</v>
      </c>
      <c r="K3" s="9" t="s">
        <v>28</v>
      </c>
      <c r="L3" s="9" t="s">
        <v>29</v>
      </c>
      <c r="M3" s="9" t="s">
        <v>30</v>
      </c>
      <c r="N3" s="11">
        <v>2024.0</v>
      </c>
    </row>
    <row r="4" ht="30.75" customHeight="1">
      <c r="A4" s="5" t="s">
        <v>15</v>
      </c>
      <c r="B4" s="6" t="str">
        <f t="array" ref="B4">XLOOKUP(C4,city_to_region!$B$5:$B$96,city_to_region!$A$5:$A$96)</f>
        <v>г. Астана</v>
      </c>
      <c r="C4" s="6" t="s">
        <v>16</v>
      </c>
      <c r="D4" s="6" t="s">
        <v>31</v>
      </c>
      <c r="E4" s="7">
        <v>45566.0</v>
      </c>
      <c r="F4" s="6" t="s">
        <v>32</v>
      </c>
      <c r="G4" s="6" t="s">
        <v>33</v>
      </c>
      <c r="H4" s="9">
        <v>0.0816</v>
      </c>
      <c r="I4" s="9">
        <v>10.2</v>
      </c>
      <c r="J4" s="10">
        <v>502.0</v>
      </c>
      <c r="K4" s="9" t="s">
        <v>34</v>
      </c>
      <c r="L4" s="9" t="s">
        <v>35</v>
      </c>
      <c r="M4" s="9" t="s">
        <v>36</v>
      </c>
      <c r="N4" s="11">
        <v>2024.0</v>
      </c>
    </row>
    <row r="5" ht="14.25" customHeight="1">
      <c r="A5" s="5" t="s">
        <v>15</v>
      </c>
      <c r="B5" s="6" t="str">
        <f t="array" ref="B5">XLOOKUP(C5,city_to_region!$B$5:$B$96,city_to_region!$A$5:$A$96)</f>
        <v>Атырауская</v>
      </c>
      <c r="C5" s="6" t="s">
        <v>37</v>
      </c>
      <c r="D5" s="6" t="s">
        <v>38</v>
      </c>
      <c r="E5" s="12">
        <v>45373.0</v>
      </c>
      <c r="F5" s="6" t="s">
        <v>39</v>
      </c>
      <c r="G5" s="6" t="s">
        <v>40</v>
      </c>
      <c r="H5" s="13">
        <v>0.0801</v>
      </c>
      <c r="I5" s="9">
        <v>10.0</v>
      </c>
      <c r="J5" s="10">
        <v>286.0</v>
      </c>
      <c r="K5" s="9" t="s">
        <v>41</v>
      </c>
      <c r="L5" s="9" t="s">
        <v>42</v>
      </c>
      <c r="M5" s="9" t="s">
        <v>43</v>
      </c>
      <c r="N5" s="11">
        <v>2024.0</v>
      </c>
    </row>
    <row r="6" ht="15.75" customHeight="1">
      <c r="A6" s="5" t="s">
        <v>15</v>
      </c>
      <c r="B6" s="6" t="str">
        <f t="array" ref="B6">XLOOKUP(C6,city_to_region!$B$5:$B$96,city_to_region!$A$5:$A$96)</f>
        <v>Атырауская</v>
      </c>
      <c r="C6" s="6" t="s">
        <v>37</v>
      </c>
      <c r="D6" s="6" t="s">
        <v>44</v>
      </c>
      <c r="E6" s="12">
        <v>45376.0</v>
      </c>
      <c r="F6" s="6" t="s">
        <v>45</v>
      </c>
      <c r="G6" s="6" t="s">
        <v>46</v>
      </c>
      <c r="H6" s="13">
        <v>0.1228</v>
      </c>
      <c r="I6" s="9">
        <v>15.4</v>
      </c>
      <c r="J6" s="10">
        <v>281.0</v>
      </c>
      <c r="K6" s="9" t="s">
        <v>47</v>
      </c>
      <c r="L6" s="9" t="s">
        <v>48</v>
      </c>
      <c r="M6" s="9" t="s">
        <v>49</v>
      </c>
      <c r="N6" s="11">
        <v>2024.0</v>
      </c>
    </row>
    <row r="7" ht="15.75" customHeight="1">
      <c r="A7" s="5" t="s">
        <v>15</v>
      </c>
      <c r="B7" s="6" t="str">
        <f t="array" ref="B7">XLOOKUP(C7,city_to_region!$B$5:$B$96,city_to_region!$A$5:$A$96)</f>
        <v>Атырауская</v>
      </c>
      <c r="C7" s="6" t="s">
        <v>37</v>
      </c>
      <c r="D7" s="6" t="s">
        <v>50</v>
      </c>
      <c r="E7" s="12">
        <v>45376.0</v>
      </c>
      <c r="F7" s="6" t="s">
        <v>51</v>
      </c>
      <c r="G7" s="6" t="s">
        <v>52</v>
      </c>
      <c r="H7" s="13">
        <v>0.1519</v>
      </c>
      <c r="I7" s="9">
        <v>19.0</v>
      </c>
      <c r="J7" s="10">
        <v>243.0</v>
      </c>
      <c r="K7" s="9" t="s">
        <v>53</v>
      </c>
      <c r="L7" s="9" t="s">
        <v>54</v>
      </c>
      <c r="M7" s="9" t="s">
        <v>55</v>
      </c>
      <c r="N7" s="11">
        <v>2024.0</v>
      </c>
    </row>
    <row r="8" ht="15.75" customHeight="1">
      <c r="A8" s="5" t="s">
        <v>15</v>
      </c>
      <c r="B8" s="6" t="str">
        <f t="array" ref="B8">XLOOKUP(C8,city_to_region!$B$5:$B$96,city_to_region!$A$5:$A$96)</f>
        <v>Атырауская</v>
      </c>
      <c r="C8" s="6" t="s">
        <v>37</v>
      </c>
      <c r="D8" s="6" t="s">
        <v>56</v>
      </c>
      <c r="E8" s="12">
        <v>45376.0</v>
      </c>
      <c r="F8" s="6" t="s">
        <v>57</v>
      </c>
      <c r="G8" s="6" t="s">
        <v>58</v>
      </c>
      <c r="H8" s="13">
        <v>0.0915</v>
      </c>
      <c r="I8" s="9">
        <v>11.4</v>
      </c>
      <c r="J8" s="10">
        <v>282.0</v>
      </c>
      <c r="K8" s="9" t="s">
        <v>59</v>
      </c>
      <c r="L8" s="9" t="s">
        <v>60</v>
      </c>
      <c r="M8" s="9" t="s">
        <v>61</v>
      </c>
      <c r="N8" s="11">
        <v>2024.0</v>
      </c>
    </row>
    <row r="9" ht="15.75" customHeight="1">
      <c r="A9" s="5" t="s">
        <v>15</v>
      </c>
      <c r="B9" s="6" t="str">
        <f t="array" ref="B9">XLOOKUP(C9,city_to_region!$B$5:$B$96,city_to_region!$A$5:$A$96)</f>
        <v>Атырауская</v>
      </c>
      <c r="C9" s="6" t="s">
        <v>37</v>
      </c>
      <c r="D9" s="6" t="s">
        <v>62</v>
      </c>
      <c r="E9" s="12">
        <v>45376.0</v>
      </c>
      <c r="F9" s="6" t="s">
        <v>63</v>
      </c>
      <c r="G9" s="6" t="s">
        <v>64</v>
      </c>
      <c r="H9" s="13">
        <v>0.087</v>
      </c>
      <c r="I9" s="9">
        <v>10.9</v>
      </c>
      <c r="J9" s="10">
        <v>302.0</v>
      </c>
      <c r="K9" s="9" t="s">
        <v>65</v>
      </c>
      <c r="L9" s="9" t="s">
        <v>66</v>
      </c>
      <c r="M9" s="9" t="s">
        <v>67</v>
      </c>
      <c r="N9" s="11">
        <v>2024.0</v>
      </c>
    </row>
    <row r="10" ht="15.75" customHeight="1">
      <c r="A10" s="5" t="s">
        <v>15</v>
      </c>
      <c r="B10" s="6" t="str">
        <f t="array" ref="B10">XLOOKUP(C10,city_to_region!$B$5:$B$96,city_to_region!$A$5:$A$96)</f>
        <v>Атырауская</v>
      </c>
      <c r="C10" s="6" t="s">
        <v>37</v>
      </c>
      <c r="D10" s="6" t="s">
        <v>68</v>
      </c>
      <c r="E10" s="12">
        <v>45376.0</v>
      </c>
      <c r="F10" s="6" t="s">
        <v>69</v>
      </c>
      <c r="G10" s="6" t="s">
        <v>70</v>
      </c>
      <c r="H10" s="13">
        <v>0.0939</v>
      </c>
      <c r="I10" s="9">
        <v>11.7</v>
      </c>
      <c r="J10" s="10">
        <v>281.0</v>
      </c>
      <c r="K10" s="9" t="s">
        <v>71</v>
      </c>
      <c r="L10" s="9" t="s">
        <v>72</v>
      </c>
      <c r="M10" s="9" t="s">
        <v>73</v>
      </c>
      <c r="N10" s="11">
        <v>2024.0</v>
      </c>
    </row>
    <row r="11" ht="15.75" customHeight="1">
      <c r="A11" s="5" t="s">
        <v>15</v>
      </c>
      <c r="B11" s="6" t="str">
        <f t="array" ref="B11">XLOOKUP(C11,city_to_region!$B$5:$B$96,city_to_region!$A$5:$A$96)</f>
        <v>Атырауская</v>
      </c>
      <c r="C11" s="6" t="s">
        <v>37</v>
      </c>
      <c r="D11" s="6" t="s">
        <v>74</v>
      </c>
      <c r="E11" s="12">
        <v>45377.0</v>
      </c>
      <c r="F11" s="6" t="s">
        <v>75</v>
      </c>
      <c r="G11" s="6" t="s">
        <v>70</v>
      </c>
      <c r="H11" s="13">
        <v>0.099</v>
      </c>
      <c r="I11" s="9">
        <v>12.4</v>
      </c>
      <c r="J11" s="10">
        <v>299.0</v>
      </c>
      <c r="K11" s="9" t="s">
        <v>76</v>
      </c>
      <c r="L11" s="9" t="s">
        <v>77</v>
      </c>
      <c r="M11" s="9" t="s">
        <v>78</v>
      </c>
      <c r="N11" s="11">
        <v>2024.0</v>
      </c>
    </row>
    <row r="12" ht="15.75" customHeight="1">
      <c r="A12" s="5" t="s">
        <v>15</v>
      </c>
      <c r="B12" s="6" t="str">
        <f t="array" ref="B12">XLOOKUP(C12,city_to_region!$B$5:$B$96,city_to_region!$A$5:$A$96)</f>
        <v>Атырауская</v>
      </c>
      <c r="C12" s="6" t="s">
        <v>37</v>
      </c>
      <c r="D12" s="6" t="s">
        <v>79</v>
      </c>
      <c r="E12" s="12">
        <v>45378.0</v>
      </c>
      <c r="F12" s="6" t="s">
        <v>80</v>
      </c>
      <c r="G12" s="6" t="s">
        <v>70</v>
      </c>
      <c r="H12" s="13">
        <v>0.1013</v>
      </c>
      <c r="I12" s="9">
        <v>12.7</v>
      </c>
      <c r="J12" s="10">
        <v>314.0</v>
      </c>
      <c r="K12" s="9" t="s">
        <v>81</v>
      </c>
      <c r="L12" s="9" t="s">
        <v>82</v>
      </c>
      <c r="M12" s="9" t="s">
        <v>83</v>
      </c>
      <c r="N12" s="11">
        <v>2024.0</v>
      </c>
    </row>
    <row r="13" ht="15.75" customHeight="1">
      <c r="A13" s="5" t="s">
        <v>15</v>
      </c>
      <c r="B13" s="6" t="str">
        <f t="array" ref="B13">XLOOKUP(C13,city_to_region!$B$5:$B$96,city_to_region!$A$5:$A$96)</f>
        <v>Атырауская</v>
      </c>
      <c r="C13" s="6" t="s">
        <v>37</v>
      </c>
      <c r="D13" s="6" t="s">
        <v>84</v>
      </c>
      <c r="E13" s="12">
        <v>45379.0</v>
      </c>
      <c r="F13" s="6" t="s">
        <v>85</v>
      </c>
      <c r="G13" s="6" t="s">
        <v>70</v>
      </c>
      <c r="H13" s="13">
        <v>0.1191</v>
      </c>
      <c r="I13" s="9">
        <v>14.9</v>
      </c>
      <c r="J13" s="10">
        <v>315.0</v>
      </c>
      <c r="K13" s="9" t="s">
        <v>86</v>
      </c>
      <c r="L13" s="9" t="s">
        <v>87</v>
      </c>
      <c r="M13" s="9" t="s">
        <v>88</v>
      </c>
      <c r="N13" s="11">
        <v>2024.0</v>
      </c>
    </row>
    <row r="14" ht="15.75" customHeight="1">
      <c r="A14" s="5" t="s">
        <v>15</v>
      </c>
      <c r="B14" s="6" t="str">
        <f t="array" ref="B14">XLOOKUP(C14,city_to_region!$B$5:$B$96,city_to_region!$A$5:$A$96)</f>
        <v>Атырауская</v>
      </c>
      <c r="C14" s="6" t="s">
        <v>37</v>
      </c>
      <c r="D14" s="6" t="s">
        <v>89</v>
      </c>
      <c r="E14" s="12">
        <v>45380.0</v>
      </c>
      <c r="F14" s="6" t="s">
        <v>90</v>
      </c>
      <c r="G14" s="6" t="s">
        <v>70</v>
      </c>
      <c r="H14" s="13">
        <v>0.1039</v>
      </c>
      <c r="I14" s="9">
        <v>13.0</v>
      </c>
      <c r="J14" s="10">
        <v>261.0</v>
      </c>
      <c r="K14" s="9" t="s">
        <v>91</v>
      </c>
      <c r="L14" s="9" t="s">
        <v>92</v>
      </c>
      <c r="M14" s="9" t="s">
        <v>93</v>
      </c>
      <c r="N14" s="11">
        <v>2024.0</v>
      </c>
    </row>
    <row r="15" ht="15.75" customHeight="1">
      <c r="A15" s="5" t="s">
        <v>15</v>
      </c>
      <c r="B15" s="6" t="str">
        <f t="array" ref="B15">XLOOKUP(C15,city_to_region!$B$5:$B$96,city_to_region!$A$5:$A$96)</f>
        <v>Атырауская</v>
      </c>
      <c r="C15" s="6" t="s">
        <v>37</v>
      </c>
      <c r="D15" s="6" t="s">
        <v>94</v>
      </c>
      <c r="E15" s="12">
        <v>45381.0</v>
      </c>
      <c r="F15" s="6" t="s">
        <v>95</v>
      </c>
      <c r="G15" s="6" t="s">
        <v>70</v>
      </c>
      <c r="H15" s="13">
        <v>0.0817</v>
      </c>
      <c r="I15" s="9">
        <v>10.2</v>
      </c>
      <c r="J15" s="10">
        <v>263.0</v>
      </c>
      <c r="K15" s="9" t="s">
        <v>96</v>
      </c>
      <c r="L15" s="9" t="s">
        <v>97</v>
      </c>
      <c r="M15" s="9" t="s">
        <v>98</v>
      </c>
      <c r="N15" s="11">
        <v>2024.0</v>
      </c>
    </row>
    <row r="16" ht="15.75" customHeight="1">
      <c r="A16" s="5" t="s">
        <v>15</v>
      </c>
      <c r="B16" s="6" t="str">
        <f t="array" ref="B16">XLOOKUP(C16,city_to_region!$B$5:$B$96,city_to_region!$A$5:$A$96)</f>
        <v>Атырауская</v>
      </c>
      <c r="C16" s="6" t="s">
        <v>37</v>
      </c>
      <c r="D16" s="6" t="s">
        <v>99</v>
      </c>
      <c r="E16" s="12">
        <v>45382.0</v>
      </c>
      <c r="F16" s="6" t="s">
        <v>100</v>
      </c>
      <c r="G16" s="6" t="s">
        <v>101</v>
      </c>
      <c r="H16" s="13">
        <v>0.1357</v>
      </c>
      <c r="I16" s="9">
        <v>17.0</v>
      </c>
      <c r="J16" s="10">
        <v>272.0</v>
      </c>
      <c r="K16" s="9" t="s">
        <v>102</v>
      </c>
      <c r="L16" s="9" t="s">
        <v>103</v>
      </c>
      <c r="M16" s="9" t="s">
        <v>104</v>
      </c>
      <c r="N16" s="11">
        <v>2024.0</v>
      </c>
    </row>
    <row r="17" ht="15.75" customHeight="1">
      <c r="A17" s="5" t="s">
        <v>15</v>
      </c>
      <c r="B17" s="6" t="str">
        <f t="array" ref="B17">XLOOKUP(C17,city_to_region!$B$5:$B$96,city_to_region!$A$5:$A$96)</f>
        <v>Атырауская</v>
      </c>
      <c r="C17" s="6" t="s">
        <v>37</v>
      </c>
      <c r="D17" s="6" t="s">
        <v>105</v>
      </c>
      <c r="E17" s="12">
        <v>45383.0</v>
      </c>
      <c r="F17" s="6" t="s">
        <v>106</v>
      </c>
      <c r="G17" s="6" t="s">
        <v>107</v>
      </c>
      <c r="H17" s="13">
        <v>0.242</v>
      </c>
      <c r="I17" s="9">
        <v>30.3</v>
      </c>
      <c r="J17" s="10">
        <v>270.0</v>
      </c>
      <c r="K17" s="9" t="s">
        <v>108</v>
      </c>
      <c r="L17" s="9" t="s">
        <v>109</v>
      </c>
      <c r="M17" s="9" t="s">
        <v>110</v>
      </c>
      <c r="N17" s="11">
        <v>2024.0</v>
      </c>
    </row>
    <row r="18" ht="15.75" customHeight="1">
      <c r="A18" s="5" t="s">
        <v>15</v>
      </c>
      <c r="B18" s="6" t="str">
        <f t="array" ref="B18">XLOOKUP(C18,city_to_region!$B$5:$B$96,city_to_region!$A$5:$A$96)</f>
        <v>Атырауская</v>
      </c>
      <c r="C18" s="6" t="s">
        <v>37</v>
      </c>
      <c r="D18" s="6" t="s">
        <v>111</v>
      </c>
      <c r="E18" s="12">
        <v>45384.0</v>
      </c>
      <c r="F18" s="6" t="s">
        <v>112</v>
      </c>
      <c r="G18" s="6" t="s">
        <v>113</v>
      </c>
      <c r="H18" s="13">
        <v>0.2128</v>
      </c>
      <c r="I18" s="9">
        <v>26.6</v>
      </c>
      <c r="J18" s="10">
        <v>268.0</v>
      </c>
      <c r="K18" s="9" t="s">
        <v>114</v>
      </c>
      <c r="L18" s="9" t="s">
        <v>115</v>
      </c>
      <c r="M18" s="9" t="s">
        <v>116</v>
      </c>
      <c r="N18" s="11">
        <v>2024.0</v>
      </c>
    </row>
    <row r="19" ht="15.75" customHeight="1">
      <c r="A19" s="5" t="s">
        <v>15</v>
      </c>
      <c r="B19" s="6" t="str">
        <f t="array" ref="B19">XLOOKUP(C19,city_to_region!$B$5:$B$96,city_to_region!$A$5:$A$96)</f>
        <v>Атырауская</v>
      </c>
      <c r="C19" s="6" t="s">
        <v>37</v>
      </c>
      <c r="D19" s="6" t="s">
        <v>117</v>
      </c>
      <c r="E19" s="12">
        <v>45385.0</v>
      </c>
      <c r="F19" s="6" t="s">
        <v>118</v>
      </c>
      <c r="G19" s="6" t="s">
        <v>119</v>
      </c>
      <c r="H19" s="13">
        <v>0.1323</v>
      </c>
      <c r="I19" s="9">
        <v>16.5</v>
      </c>
      <c r="J19" s="10">
        <v>275.0</v>
      </c>
      <c r="K19" s="9" t="s">
        <v>120</v>
      </c>
      <c r="L19" s="9" t="s">
        <v>121</v>
      </c>
      <c r="M19" s="9" t="s">
        <v>122</v>
      </c>
      <c r="N19" s="11">
        <v>2024.0</v>
      </c>
    </row>
    <row r="20" ht="15.75" customHeight="1">
      <c r="A20" s="5" t="s">
        <v>15</v>
      </c>
      <c r="B20" s="6" t="str">
        <f t="array" ref="B20">XLOOKUP(C20,city_to_region!$B$5:$B$96,city_to_region!$A$5:$A$96)</f>
        <v>Атырауская</v>
      </c>
      <c r="C20" s="6" t="s">
        <v>37</v>
      </c>
      <c r="D20" s="6" t="s">
        <v>123</v>
      </c>
      <c r="E20" s="12">
        <v>45386.0</v>
      </c>
      <c r="F20" s="6" t="s">
        <v>124</v>
      </c>
      <c r="G20" s="6" t="s">
        <v>125</v>
      </c>
      <c r="H20" s="13">
        <v>0.087</v>
      </c>
      <c r="I20" s="9">
        <v>10.9</v>
      </c>
      <c r="J20" s="10">
        <v>283.0</v>
      </c>
      <c r="K20" s="9" t="s">
        <v>126</v>
      </c>
      <c r="L20" s="9" t="s">
        <v>127</v>
      </c>
      <c r="M20" s="9" t="s">
        <v>128</v>
      </c>
      <c r="N20" s="11">
        <v>2024.0</v>
      </c>
    </row>
    <row r="21" ht="15.75" customHeight="1">
      <c r="A21" s="5" t="s">
        <v>15</v>
      </c>
      <c r="B21" s="6" t="str">
        <f t="array" ref="B21">XLOOKUP(C21,city_to_region!$B$5:$B$96,city_to_region!$A$5:$A$96)</f>
        <v>Атырауская</v>
      </c>
      <c r="C21" s="6" t="s">
        <v>37</v>
      </c>
      <c r="D21" s="6" t="s">
        <v>129</v>
      </c>
      <c r="E21" s="12">
        <v>45387.0</v>
      </c>
      <c r="F21" s="6" t="s">
        <v>130</v>
      </c>
      <c r="G21" s="6" t="s">
        <v>131</v>
      </c>
      <c r="H21" s="13">
        <v>0.2112</v>
      </c>
      <c r="I21" s="9">
        <v>26.4</v>
      </c>
      <c r="J21" s="10">
        <v>96.0</v>
      </c>
      <c r="K21" s="9" t="s">
        <v>132</v>
      </c>
      <c r="L21" s="9" t="s">
        <v>133</v>
      </c>
      <c r="M21" s="9" t="s">
        <v>134</v>
      </c>
      <c r="N21" s="11">
        <v>2024.0</v>
      </c>
    </row>
    <row r="22" ht="15.75" customHeight="1">
      <c r="A22" s="5" t="s">
        <v>15</v>
      </c>
      <c r="B22" s="6" t="str">
        <f t="array" ref="B22">XLOOKUP(C22,city_to_region!$B$5:$B$96,city_to_region!$A$5:$A$96)</f>
        <v>Атырауская</v>
      </c>
      <c r="C22" s="6" t="s">
        <v>37</v>
      </c>
      <c r="D22" s="6" t="s">
        <v>135</v>
      </c>
      <c r="E22" s="12">
        <v>45388.0</v>
      </c>
      <c r="F22" s="6" t="s">
        <v>136</v>
      </c>
      <c r="G22" s="6" t="s">
        <v>137</v>
      </c>
      <c r="H22" s="13">
        <v>0.3571</v>
      </c>
      <c r="I22" s="9">
        <v>44.6</v>
      </c>
      <c r="J22" s="10">
        <v>106.0</v>
      </c>
      <c r="K22" s="9" t="s">
        <v>138</v>
      </c>
      <c r="L22" s="9" t="s">
        <v>139</v>
      </c>
      <c r="M22" s="9" t="s">
        <v>140</v>
      </c>
      <c r="N22" s="11">
        <v>2024.0</v>
      </c>
    </row>
    <row r="23" ht="15.75" customHeight="1">
      <c r="A23" s="5" t="s">
        <v>15</v>
      </c>
      <c r="B23" s="6" t="str">
        <f t="array" ref="B23">XLOOKUP(C23,city_to_region!$B$5:$B$96,city_to_region!$A$5:$A$96)</f>
        <v>Атырауская</v>
      </c>
      <c r="C23" s="6" t="s">
        <v>37</v>
      </c>
      <c r="D23" s="6" t="s">
        <v>141</v>
      </c>
      <c r="E23" s="12">
        <v>45389.0</v>
      </c>
      <c r="F23" s="6" t="s">
        <v>142</v>
      </c>
      <c r="G23" s="6" t="s">
        <v>143</v>
      </c>
      <c r="H23" s="13">
        <v>0.1878</v>
      </c>
      <c r="I23" s="9">
        <v>23.5</v>
      </c>
      <c r="J23" s="10">
        <v>142.0</v>
      </c>
      <c r="K23" s="9" t="s">
        <v>144</v>
      </c>
      <c r="L23" s="9" t="s">
        <v>145</v>
      </c>
      <c r="M23" s="9" t="s">
        <v>146</v>
      </c>
      <c r="N23" s="11">
        <v>2024.0</v>
      </c>
    </row>
    <row r="24" ht="15.75" customHeight="1">
      <c r="A24" s="5" t="s">
        <v>15</v>
      </c>
      <c r="B24" s="6" t="str">
        <f t="array" ref="B24">XLOOKUP(C24,city_to_region!$B$5:$B$96,city_to_region!$A$5:$A$96)</f>
        <v>Атырауская</v>
      </c>
      <c r="C24" s="6" t="s">
        <v>37</v>
      </c>
      <c r="D24" s="6" t="s">
        <v>147</v>
      </c>
      <c r="E24" s="12">
        <v>45390.0</v>
      </c>
      <c r="F24" s="6" t="s">
        <v>148</v>
      </c>
      <c r="G24" s="6" t="s">
        <v>149</v>
      </c>
      <c r="H24" s="13">
        <v>0.0979</v>
      </c>
      <c r="I24" s="9">
        <v>12.2</v>
      </c>
      <c r="J24" s="10">
        <v>260.0</v>
      </c>
      <c r="K24" s="9" t="s">
        <v>150</v>
      </c>
      <c r="L24" s="9" t="s">
        <v>151</v>
      </c>
      <c r="M24" s="9" t="s">
        <v>152</v>
      </c>
      <c r="N24" s="11">
        <v>2024.0</v>
      </c>
    </row>
    <row r="25" ht="15.75" customHeight="1">
      <c r="A25" s="5" t="s">
        <v>15</v>
      </c>
      <c r="B25" s="6" t="str">
        <f t="array" ref="B25">XLOOKUP(C25,city_to_region!$B$5:$B$96,city_to_region!$A$5:$A$96)</f>
        <v>Атырауская</v>
      </c>
      <c r="C25" s="6" t="s">
        <v>37</v>
      </c>
      <c r="D25" s="6" t="s">
        <v>153</v>
      </c>
      <c r="E25" s="12">
        <v>45391.0</v>
      </c>
      <c r="F25" s="6" t="s">
        <v>154</v>
      </c>
      <c r="G25" s="6" t="s">
        <v>155</v>
      </c>
      <c r="H25" s="13">
        <v>0.128</v>
      </c>
      <c r="I25" s="9">
        <v>16.0</v>
      </c>
      <c r="J25" s="10">
        <v>298.0</v>
      </c>
      <c r="K25" s="9" t="s">
        <v>156</v>
      </c>
      <c r="L25" s="9" t="s">
        <v>157</v>
      </c>
      <c r="M25" s="9" t="s">
        <v>158</v>
      </c>
      <c r="N25" s="11">
        <v>2024.0</v>
      </c>
    </row>
    <row r="26" ht="15.75" customHeight="1">
      <c r="A26" s="5" t="s">
        <v>15</v>
      </c>
      <c r="B26" s="6" t="str">
        <f t="array" ref="B26">XLOOKUP(C26,city_to_region!$B$5:$B$96,city_to_region!$A$5:$A$96)</f>
        <v>Атырауская</v>
      </c>
      <c r="C26" s="6" t="s">
        <v>37</v>
      </c>
      <c r="D26" s="6" t="s">
        <v>159</v>
      </c>
      <c r="E26" s="12">
        <v>45392.0</v>
      </c>
      <c r="F26" s="6" t="s">
        <v>160</v>
      </c>
      <c r="G26" s="6" t="s">
        <v>161</v>
      </c>
      <c r="H26" s="13">
        <v>0.16</v>
      </c>
      <c r="I26" s="9">
        <v>20.0</v>
      </c>
      <c r="J26" s="10">
        <v>299.0</v>
      </c>
      <c r="K26" s="9" t="s">
        <v>162</v>
      </c>
      <c r="L26" s="9" t="s">
        <v>163</v>
      </c>
      <c r="M26" s="9" t="s">
        <v>164</v>
      </c>
      <c r="N26" s="11">
        <v>2024.0</v>
      </c>
    </row>
    <row r="27" ht="15.75" customHeight="1">
      <c r="A27" s="5" t="s">
        <v>15</v>
      </c>
      <c r="B27" s="6" t="str">
        <f t="array" ref="B27">XLOOKUP(C27,city_to_region!$B$5:$B$96,city_to_region!$A$5:$A$96)</f>
        <v>Атырауская</v>
      </c>
      <c r="C27" s="6" t="s">
        <v>37</v>
      </c>
      <c r="D27" s="6" t="s">
        <v>165</v>
      </c>
      <c r="E27" s="12">
        <v>45393.0</v>
      </c>
      <c r="F27" s="6" t="s">
        <v>166</v>
      </c>
      <c r="G27" s="6" t="s">
        <v>167</v>
      </c>
      <c r="H27" s="13">
        <v>0.0999</v>
      </c>
      <c r="I27" s="9">
        <v>12.5</v>
      </c>
      <c r="J27" s="10">
        <v>309.0</v>
      </c>
      <c r="K27" s="9" t="s">
        <v>168</v>
      </c>
      <c r="L27" s="9" t="s">
        <v>169</v>
      </c>
      <c r="M27" s="9" t="s">
        <v>170</v>
      </c>
      <c r="N27" s="11">
        <v>2024.0</v>
      </c>
    </row>
    <row r="28" ht="15.75" customHeight="1">
      <c r="A28" s="5" t="s">
        <v>15</v>
      </c>
      <c r="B28" s="6" t="str">
        <f t="array" ref="B28">XLOOKUP(C28,city_to_region!$B$5:$B$96,city_to_region!$A$5:$A$96)</f>
        <v>Атырауская</v>
      </c>
      <c r="C28" s="6" t="s">
        <v>37</v>
      </c>
      <c r="D28" s="6" t="s">
        <v>171</v>
      </c>
      <c r="E28" s="12">
        <v>45394.0</v>
      </c>
      <c r="F28" s="6" t="s">
        <v>172</v>
      </c>
      <c r="G28" s="6" t="s">
        <v>173</v>
      </c>
      <c r="H28" s="13">
        <v>0.1396</v>
      </c>
      <c r="I28" s="9">
        <v>17.5</v>
      </c>
      <c r="J28" s="10">
        <v>310.0</v>
      </c>
      <c r="K28" s="9" t="s">
        <v>174</v>
      </c>
      <c r="L28" s="9" t="s">
        <v>175</v>
      </c>
      <c r="M28" s="9" t="s">
        <v>176</v>
      </c>
      <c r="N28" s="11">
        <v>2024.0</v>
      </c>
    </row>
    <row r="29" ht="15.75" customHeight="1">
      <c r="A29" s="5" t="s">
        <v>15</v>
      </c>
      <c r="B29" s="6" t="str">
        <f t="array" ref="B29">XLOOKUP(C29,city_to_region!$B$5:$B$96,city_to_region!$A$5:$A$96)</f>
        <v>Атырауская</v>
      </c>
      <c r="C29" s="6" t="s">
        <v>37</v>
      </c>
      <c r="D29" s="6" t="s">
        <v>177</v>
      </c>
      <c r="E29" s="12">
        <v>45395.0</v>
      </c>
      <c r="F29" s="6" t="s">
        <v>178</v>
      </c>
      <c r="G29" s="6" t="s">
        <v>179</v>
      </c>
      <c r="H29" s="13">
        <v>0.0805</v>
      </c>
      <c r="I29" s="9">
        <v>10.1</v>
      </c>
      <c r="J29" s="10">
        <v>176.0</v>
      </c>
      <c r="K29" s="9" t="s">
        <v>180</v>
      </c>
      <c r="L29" s="9" t="s">
        <v>181</v>
      </c>
      <c r="M29" s="9" t="s">
        <v>182</v>
      </c>
      <c r="N29" s="11">
        <v>2024.0</v>
      </c>
    </row>
    <row r="30" ht="15.75" customHeight="1">
      <c r="A30" s="5" t="s">
        <v>15</v>
      </c>
      <c r="B30" s="6" t="str">
        <f t="array" ref="B30">XLOOKUP(C30,city_to_region!$B$5:$B$96,city_to_region!$A$5:$A$96)</f>
        <v>Атырауская</v>
      </c>
      <c r="C30" s="6" t="s">
        <v>37</v>
      </c>
      <c r="D30" s="6" t="s">
        <v>183</v>
      </c>
      <c r="E30" s="12">
        <v>45396.0</v>
      </c>
      <c r="F30" s="6" t="s">
        <v>184</v>
      </c>
      <c r="G30" s="6" t="s">
        <v>185</v>
      </c>
      <c r="H30" s="13">
        <v>0.1142</v>
      </c>
      <c r="I30" s="9">
        <v>14.3</v>
      </c>
      <c r="J30" s="10">
        <v>144.0</v>
      </c>
      <c r="K30" s="9" t="s">
        <v>186</v>
      </c>
      <c r="L30" s="9" t="s">
        <v>187</v>
      </c>
      <c r="M30" s="9" t="s">
        <v>188</v>
      </c>
      <c r="N30" s="11">
        <v>2024.0</v>
      </c>
    </row>
    <row r="31" ht="15.75" customHeight="1">
      <c r="A31" s="5" t="s">
        <v>15</v>
      </c>
      <c r="B31" s="6" t="str">
        <f t="array" ref="B31">XLOOKUP(C31,city_to_region!$B$5:$B$96,city_to_region!$A$5:$A$96)</f>
        <v>Атырауская</v>
      </c>
      <c r="C31" s="6" t="s">
        <v>37</v>
      </c>
      <c r="D31" s="6" t="s">
        <v>189</v>
      </c>
      <c r="E31" s="12">
        <v>45397.0</v>
      </c>
      <c r="F31" s="6" t="s">
        <v>190</v>
      </c>
      <c r="G31" s="6" t="s">
        <v>191</v>
      </c>
      <c r="H31" s="13">
        <v>0.0801</v>
      </c>
      <c r="I31" s="9">
        <v>20.0</v>
      </c>
      <c r="J31" s="10">
        <v>212.0</v>
      </c>
      <c r="K31" s="9" t="s">
        <v>192</v>
      </c>
      <c r="L31" s="9" t="s">
        <v>193</v>
      </c>
      <c r="M31" s="9" t="s">
        <v>194</v>
      </c>
      <c r="N31" s="11">
        <v>2024.0</v>
      </c>
    </row>
    <row r="32" ht="15.75" customHeight="1">
      <c r="A32" s="5" t="s">
        <v>15</v>
      </c>
      <c r="B32" s="6" t="str">
        <f t="array" ref="B32">XLOOKUP(C32,city_to_region!$B$5:$B$96,city_to_region!$A$5:$A$96)</f>
        <v>Атырауская</v>
      </c>
      <c r="C32" s="6" t="s">
        <v>37</v>
      </c>
      <c r="D32" s="6" t="s">
        <v>195</v>
      </c>
      <c r="E32" s="12">
        <v>45398.0</v>
      </c>
      <c r="F32" s="6" t="s">
        <v>196</v>
      </c>
      <c r="G32" s="6" t="s">
        <v>197</v>
      </c>
      <c r="H32" s="13">
        <v>0.1566</v>
      </c>
      <c r="I32" s="9">
        <v>12.5</v>
      </c>
      <c r="J32" s="10">
        <v>208.0</v>
      </c>
      <c r="K32" s="9" t="s">
        <v>198</v>
      </c>
      <c r="L32" s="9" t="s">
        <v>199</v>
      </c>
      <c r="M32" s="9" t="s">
        <v>200</v>
      </c>
      <c r="N32" s="11">
        <v>2024.0</v>
      </c>
    </row>
    <row r="33" ht="15.75" customHeight="1">
      <c r="A33" s="5" t="s">
        <v>15</v>
      </c>
      <c r="B33" s="6" t="str">
        <f t="array" ref="B33">XLOOKUP(C33,city_to_region!$B$5:$B$96,city_to_region!$A$5:$A$96)</f>
        <v>Атырауская</v>
      </c>
      <c r="C33" s="6" t="s">
        <v>37</v>
      </c>
      <c r="D33" s="6" t="s">
        <v>201</v>
      </c>
      <c r="E33" s="12">
        <v>45399.0</v>
      </c>
      <c r="F33" s="6" t="s">
        <v>202</v>
      </c>
      <c r="G33" s="6" t="s">
        <v>203</v>
      </c>
      <c r="H33" s="13">
        <v>0.2644</v>
      </c>
      <c r="I33" s="9">
        <v>17.5</v>
      </c>
      <c r="J33" s="10">
        <v>200.0</v>
      </c>
      <c r="K33" s="9" t="s">
        <v>204</v>
      </c>
      <c r="L33" s="9" t="s">
        <v>205</v>
      </c>
      <c r="M33" s="9" t="s">
        <v>206</v>
      </c>
      <c r="N33" s="11">
        <v>2024.0</v>
      </c>
    </row>
    <row r="34" ht="15.75" customHeight="1">
      <c r="A34" s="5" t="s">
        <v>15</v>
      </c>
      <c r="B34" s="6" t="str">
        <f t="array" ref="B34">XLOOKUP(C34,city_to_region!$B$5:$B$96,city_to_region!$A$5:$A$96)</f>
        <v>Атырауская</v>
      </c>
      <c r="C34" s="6" t="s">
        <v>37</v>
      </c>
      <c r="D34" s="6" t="s">
        <v>207</v>
      </c>
      <c r="E34" s="12">
        <v>45400.0</v>
      </c>
      <c r="F34" s="6" t="s">
        <v>208</v>
      </c>
      <c r="G34" s="6" t="s">
        <v>209</v>
      </c>
      <c r="H34" s="13">
        <v>0.0892</v>
      </c>
      <c r="I34" s="9">
        <v>10.1</v>
      </c>
      <c r="J34" s="10">
        <v>221.0</v>
      </c>
      <c r="K34" s="9" t="s">
        <v>210</v>
      </c>
      <c r="L34" s="9" t="s">
        <v>211</v>
      </c>
      <c r="M34" s="9" t="s">
        <v>212</v>
      </c>
      <c r="N34" s="11">
        <v>2024.0</v>
      </c>
    </row>
    <row r="35" ht="15.75" customHeight="1">
      <c r="A35" s="5" t="s">
        <v>15</v>
      </c>
      <c r="B35" s="6" t="str">
        <f t="array" ref="B35">XLOOKUP(C35,city_to_region!$B$5:$B$96,city_to_region!$A$5:$A$96)</f>
        <v>Атырауская</v>
      </c>
      <c r="C35" s="6" t="s">
        <v>37</v>
      </c>
      <c r="D35" s="6" t="s">
        <v>213</v>
      </c>
      <c r="E35" s="12">
        <v>45401.0</v>
      </c>
      <c r="F35" s="6" t="s">
        <v>214</v>
      </c>
      <c r="G35" s="6" t="s">
        <v>215</v>
      </c>
      <c r="H35" s="13">
        <v>0.2241</v>
      </c>
      <c r="I35" s="9">
        <v>14.3</v>
      </c>
      <c r="J35" s="10">
        <v>290.0</v>
      </c>
      <c r="K35" s="9" t="s">
        <v>216</v>
      </c>
      <c r="L35" s="9" t="s">
        <v>217</v>
      </c>
      <c r="M35" s="9" t="s">
        <v>218</v>
      </c>
      <c r="N35" s="11">
        <v>2024.0</v>
      </c>
    </row>
    <row r="36" ht="15.75" customHeight="1">
      <c r="A36" s="5" t="s">
        <v>15</v>
      </c>
      <c r="B36" s="6" t="str">
        <f t="array" ref="B36">XLOOKUP(C36,city_to_region!$B$5:$B$96,city_to_region!$A$5:$A$96)</f>
        <v>Атырауская</v>
      </c>
      <c r="C36" s="6" t="s">
        <v>37</v>
      </c>
      <c r="D36" s="6" t="s">
        <v>219</v>
      </c>
      <c r="E36" s="12">
        <v>45402.0</v>
      </c>
      <c r="F36" s="6" t="s">
        <v>220</v>
      </c>
      <c r="G36" s="6" t="s">
        <v>221</v>
      </c>
      <c r="H36" s="13">
        <v>0.2795</v>
      </c>
      <c r="I36" s="9">
        <v>10.0</v>
      </c>
      <c r="J36" s="10">
        <v>257.0</v>
      </c>
      <c r="K36" s="9" t="s">
        <v>222</v>
      </c>
      <c r="L36" s="9" t="s">
        <v>223</v>
      </c>
      <c r="M36" s="9" t="s">
        <v>224</v>
      </c>
      <c r="N36" s="11">
        <v>2024.0</v>
      </c>
    </row>
    <row r="37" ht="15.75" customHeight="1">
      <c r="A37" s="5" t="s">
        <v>15</v>
      </c>
      <c r="B37" s="6" t="str">
        <f t="array" ref="B37">XLOOKUP(C37,city_to_region!$B$5:$B$96,city_to_region!$A$5:$A$96)</f>
        <v>Атырауская</v>
      </c>
      <c r="C37" s="6" t="s">
        <v>37</v>
      </c>
      <c r="D37" s="6" t="s">
        <v>225</v>
      </c>
      <c r="E37" s="12">
        <v>45403.0</v>
      </c>
      <c r="F37" s="6" t="s">
        <v>226</v>
      </c>
      <c r="G37" s="6" t="s">
        <v>227</v>
      </c>
      <c r="H37" s="13">
        <v>0.474</v>
      </c>
      <c r="I37" s="9">
        <v>19.6</v>
      </c>
      <c r="J37" s="10">
        <v>248.0</v>
      </c>
      <c r="K37" s="9" t="s">
        <v>228</v>
      </c>
      <c r="L37" s="9" t="s">
        <v>229</v>
      </c>
      <c r="M37" s="9" t="s">
        <v>230</v>
      </c>
      <c r="N37" s="11">
        <v>2024.0</v>
      </c>
    </row>
    <row r="38" ht="15.75" customHeight="1">
      <c r="A38" s="5" t="s">
        <v>15</v>
      </c>
      <c r="B38" s="6" t="str">
        <f t="array" ref="B38">XLOOKUP(C38,city_to_region!$B$5:$B$96,city_to_region!$A$5:$A$96)</f>
        <v>Атырауская</v>
      </c>
      <c r="C38" s="6" t="s">
        <v>37</v>
      </c>
      <c r="D38" s="6" t="s">
        <v>231</v>
      </c>
      <c r="E38" s="12">
        <v>45404.0</v>
      </c>
      <c r="F38" s="6" t="s">
        <v>232</v>
      </c>
      <c r="G38" s="6" t="s">
        <v>233</v>
      </c>
      <c r="H38" s="13">
        <v>0.3315</v>
      </c>
      <c r="I38" s="9">
        <v>33.1</v>
      </c>
      <c r="J38" s="10">
        <v>247.0</v>
      </c>
      <c r="K38" s="9" t="s">
        <v>234</v>
      </c>
      <c r="L38" s="9" t="s">
        <v>235</v>
      </c>
      <c r="M38" s="9" t="s">
        <v>236</v>
      </c>
      <c r="N38" s="11">
        <v>2024.0</v>
      </c>
    </row>
    <row r="39" ht="15.75" customHeight="1">
      <c r="A39" s="5" t="s">
        <v>15</v>
      </c>
      <c r="B39" s="6" t="str">
        <f t="array" ref="B39">XLOOKUP(C39,city_to_region!$B$5:$B$96,city_to_region!$A$5:$A$96)</f>
        <v>Атырауская</v>
      </c>
      <c r="C39" s="6" t="s">
        <v>37</v>
      </c>
      <c r="D39" s="6" t="s">
        <v>237</v>
      </c>
      <c r="E39" s="12">
        <v>45405.0</v>
      </c>
      <c r="F39" s="6" t="s">
        <v>238</v>
      </c>
      <c r="G39" s="6" t="s">
        <v>239</v>
      </c>
      <c r="H39" s="13">
        <v>0.1339</v>
      </c>
      <c r="I39" s="9">
        <v>11.2</v>
      </c>
      <c r="J39" s="10">
        <v>242.0</v>
      </c>
      <c r="K39" s="9" t="s">
        <v>240</v>
      </c>
      <c r="L39" s="9" t="s">
        <v>241</v>
      </c>
      <c r="M39" s="9" t="s">
        <v>242</v>
      </c>
      <c r="N39" s="11">
        <v>2024.0</v>
      </c>
    </row>
    <row r="40" ht="15.75" customHeight="1">
      <c r="A40" s="5" t="s">
        <v>15</v>
      </c>
      <c r="B40" s="6" t="str">
        <f t="array" ref="B40">XLOOKUP(C40,city_to_region!$B$5:$B$96,city_to_region!$A$5:$A$96)</f>
        <v>Атырауская</v>
      </c>
      <c r="C40" s="6" t="s">
        <v>37</v>
      </c>
      <c r="D40" s="6" t="s">
        <v>243</v>
      </c>
      <c r="E40" s="7">
        <v>45377.0</v>
      </c>
      <c r="F40" s="6" t="s">
        <v>244</v>
      </c>
      <c r="G40" s="8" t="s">
        <v>245</v>
      </c>
      <c r="H40" s="13">
        <v>0.0807</v>
      </c>
      <c r="I40" s="9">
        <v>28.0</v>
      </c>
      <c r="J40" s="10">
        <v>275.0</v>
      </c>
      <c r="K40" s="9" t="s">
        <v>246</v>
      </c>
      <c r="L40" s="9" t="s">
        <v>247</v>
      </c>
      <c r="M40" s="9" t="s">
        <v>248</v>
      </c>
      <c r="N40" s="11">
        <v>2024.0</v>
      </c>
    </row>
    <row r="41" ht="15.75" customHeight="1">
      <c r="A41" s="5" t="s">
        <v>15</v>
      </c>
      <c r="B41" s="6" t="str">
        <f t="array" ref="B41">XLOOKUP(C41,city_to_region!$B$5:$B$96,city_to_region!$A$5:$A$96)</f>
        <v>Атырауская</v>
      </c>
      <c r="C41" s="6" t="s">
        <v>37</v>
      </c>
      <c r="D41" s="6" t="s">
        <v>249</v>
      </c>
      <c r="E41" s="7">
        <v>45377.0</v>
      </c>
      <c r="F41" s="6" t="s">
        <v>250</v>
      </c>
      <c r="G41" s="8" t="s">
        <v>245</v>
      </c>
      <c r="H41" s="13">
        <v>0.1716</v>
      </c>
      <c r="I41" s="9">
        <v>34.9</v>
      </c>
      <c r="J41" s="10">
        <v>279.0</v>
      </c>
      <c r="K41" s="9" t="s">
        <v>251</v>
      </c>
      <c r="L41" s="9" t="s">
        <v>252</v>
      </c>
      <c r="M41" s="9" t="s">
        <v>253</v>
      </c>
      <c r="N41" s="11">
        <v>2024.0</v>
      </c>
    </row>
    <row r="42" ht="15.75" customHeight="1">
      <c r="A42" s="5" t="s">
        <v>15</v>
      </c>
      <c r="B42" s="6" t="str">
        <f t="array" ref="B42">XLOOKUP(C42,city_to_region!$B$5:$B$96,city_to_region!$A$5:$A$96)</f>
        <v>Атырауская</v>
      </c>
      <c r="C42" s="6" t="s">
        <v>37</v>
      </c>
      <c r="D42" s="6" t="s">
        <v>254</v>
      </c>
      <c r="E42" s="7">
        <v>45377.0</v>
      </c>
      <c r="F42" s="6" t="s">
        <v>255</v>
      </c>
      <c r="G42" s="8" t="s">
        <v>245</v>
      </c>
      <c r="H42" s="13">
        <v>0.0905</v>
      </c>
      <c r="I42" s="9">
        <v>59.3</v>
      </c>
      <c r="J42" s="10">
        <v>272.0</v>
      </c>
      <c r="K42" s="9" t="s">
        <v>256</v>
      </c>
      <c r="L42" s="9" t="s">
        <v>257</v>
      </c>
      <c r="M42" s="9" t="s">
        <v>258</v>
      </c>
      <c r="N42" s="11">
        <v>2024.0</v>
      </c>
    </row>
    <row r="43" ht="15.75" customHeight="1">
      <c r="A43" s="5" t="s">
        <v>15</v>
      </c>
      <c r="B43" s="6" t="str">
        <f t="array" ref="B43">XLOOKUP(C43,city_to_region!$B$5:$B$96,city_to_region!$A$5:$A$96)</f>
        <v>Атырауская</v>
      </c>
      <c r="C43" s="6" t="s">
        <v>37</v>
      </c>
      <c r="D43" s="6" t="s">
        <v>259</v>
      </c>
      <c r="E43" s="7">
        <v>45377.0</v>
      </c>
      <c r="F43" s="6" t="s">
        <v>260</v>
      </c>
      <c r="G43" s="8" t="s">
        <v>245</v>
      </c>
      <c r="H43" s="13">
        <v>0.0896</v>
      </c>
      <c r="I43" s="9">
        <v>41.4</v>
      </c>
      <c r="J43" s="10">
        <v>282.0</v>
      </c>
      <c r="K43" s="9" t="s">
        <v>261</v>
      </c>
      <c r="L43" s="9" t="s">
        <v>262</v>
      </c>
      <c r="M43" s="9" t="s">
        <v>263</v>
      </c>
      <c r="N43" s="11">
        <v>2024.0</v>
      </c>
    </row>
    <row r="44" ht="15.75" customHeight="1">
      <c r="A44" s="5" t="s">
        <v>15</v>
      </c>
      <c r="B44" s="6" t="str">
        <f t="array" ref="B44">XLOOKUP(C44,city_to_region!$B$5:$B$96,city_to_region!$A$5:$A$96)</f>
        <v>Атырауская</v>
      </c>
      <c r="C44" s="6" t="s">
        <v>37</v>
      </c>
      <c r="D44" s="6" t="s">
        <v>264</v>
      </c>
      <c r="E44" s="7">
        <v>45377.0</v>
      </c>
      <c r="F44" s="6" t="s">
        <v>265</v>
      </c>
      <c r="G44" s="8" t="s">
        <v>245</v>
      </c>
      <c r="H44" s="13">
        <v>0.1701</v>
      </c>
      <c r="I44" s="9">
        <v>16.7</v>
      </c>
      <c r="J44" s="10">
        <v>287.0</v>
      </c>
      <c r="K44" s="9" t="s">
        <v>266</v>
      </c>
      <c r="L44" s="9" t="s">
        <v>267</v>
      </c>
      <c r="M44" s="9" t="s">
        <v>268</v>
      </c>
      <c r="N44" s="11">
        <v>2024.0</v>
      </c>
    </row>
    <row r="45" ht="15.75" customHeight="1">
      <c r="A45" s="5" t="s">
        <v>15</v>
      </c>
      <c r="B45" s="6" t="str">
        <f t="array" ref="B45">XLOOKUP(C45,city_to_region!$B$5:$B$96,city_to_region!$A$5:$A$96)</f>
        <v>Атырауская</v>
      </c>
      <c r="C45" s="6" t="s">
        <v>37</v>
      </c>
      <c r="D45" s="6" t="s">
        <v>269</v>
      </c>
      <c r="E45" s="7">
        <v>45377.0</v>
      </c>
      <c r="F45" s="6" t="s">
        <v>270</v>
      </c>
      <c r="G45" s="8" t="s">
        <v>245</v>
      </c>
      <c r="H45" s="13">
        <v>0.1012</v>
      </c>
      <c r="I45" s="9">
        <v>10.1</v>
      </c>
      <c r="J45" s="10">
        <v>287.0</v>
      </c>
      <c r="K45" s="9" t="s">
        <v>271</v>
      </c>
      <c r="L45" s="9" t="s">
        <v>272</v>
      </c>
      <c r="M45" s="9" t="s">
        <v>273</v>
      </c>
      <c r="N45" s="11">
        <v>2024.0</v>
      </c>
    </row>
    <row r="46" ht="15.75" customHeight="1">
      <c r="A46" s="5" t="s">
        <v>15</v>
      </c>
      <c r="B46" s="6" t="str">
        <f t="array" ref="B46">XLOOKUP(C46,city_to_region!$B$5:$B$96,city_to_region!$A$5:$A$96)</f>
        <v>Атырауская</v>
      </c>
      <c r="C46" s="6" t="s">
        <v>37</v>
      </c>
      <c r="D46" s="6" t="s">
        <v>274</v>
      </c>
      <c r="E46" s="7">
        <v>45377.0</v>
      </c>
      <c r="F46" s="6" t="s">
        <v>275</v>
      </c>
      <c r="G46" s="8" t="s">
        <v>245</v>
      </c>
      <c r="H46" s="13">
        <v>0.1117</v>
      </c>
      <c r="I46" s="9">
        <v>21.5</v>
      </c>
      <c r="J46" s="10">
        <v>284.0</v>
      </c>
      <c r="K46" s="9" t="s">
        <v>276</v>
      </c>
      <c r="L46" s="9" t="s">
        <v>277</v>
      </c>
      <c r="M46" s="9" t="s">
        <v>278</v>
      </c>
      <c r="N46" s="11">
        <v>2024.0</v>
      </c>
    </row>
    <row r="47" ht="15.75" customHeight="1">
      <c r="A47" s="5" t="s">
        <v>15</v>
      </c>
      <c r="B47" s="6" t="str">
        <f t="array" ref="B47">XLOOKUP(C47,city_to_region!$B$5:$B$96,city_to_region!$A$5:$A$96)</f>
        <v>Атырауская</v>
      </c>
      <c r="C47" s="6" t="s">
        <v>37</v>
      </c>
      <c r="D47" s="6" t="s">
        <v>279</v>
      </c>
      <c r="E47" s="7">
        <v>45377.0</v>
      </c>
      <c r="F47" s="6" t="s">
        <v>280</v>
      </c>
      <c r="G47" s="8" t="s">
        <v>245</v>
      </c>
      <c r="H47" s="13">
        <v>0.1339</v>
      </c>
      <c r="I47" s="9">
        <v>11.3</v>
      </c>
      <c r="J47" s="10">
        <v>281.0</v>
      </c>
      <c r="K47" s="9" t="s">
        <v>281</v>
      </c>
      <c r="L47" s="9" t="s">
        <v>282</v>
      </c>
      <c r="M47" s="9" t="s">
        <v>283</v>
      </c>
      <c r="N47" s="11">
        <v>2024.0</v>
      </c>
    </row>
    <row r="48" ht="15.75" customHeight="1">
      <c r="A48" s="5" t="s">
        <v>15</v>
      </c>
      <c r="B48" s="6" t="str">
        <f t="array" ref="B48">XLOOKUP(C48,city_to_region!$B$5:$B$96,city_to_region!$A$5:$A$96)</f>
        <v>Атырауская</v>
      </c>
      <c r="C48" s="6" t="s">
        <v>37</v>
      </c>
      <c r="D48" s="6" t="s">
        <v>284</v>
      </c>
      <c r="E48" s="7">
        <v>45396.0</v>
      </c>
      <c r="F48" s="6" t="s">
        <v>285</v>
      </c>
      <c r="G48" s="6" t="s">
        <v>286</v>
      </c>
      <c r="H48" s="13">
        <v>0.086</v>
      </c>
      <c r="I48" s="9">
        <v>10.8</v>
      </c>
      <c r="J48" s="10">
        <v>322.0</v>
      </c>
      <c r="K48" s="9" t="s">
        <v>287</v>
      </c>
      <c r="L48" s="9" t="s">
        <v>288</v>
      </c>
      <c r="M48" s="9" t="s">
        <v>289</v>
      </c>
      <c r="N48" s="11">
        <v>2024.0</v>
      </c>
    </row>
    <row r="49" ht="15.75" customHeight="1">
      <c r="A49" s="5" t="s">
        <v>15</v>
      </c>
      <c r="B49" s="6" t="str">
        <f t="array" ref="B49">XLOOKUP(C49,city_to_region!$B$5:$B$96,city_to_region!$A$5:$A$96)</f>
        <v>Атырауская</v>
      </c>
      <c r="C49" s="6" t="s">
        <v>37</v>
      </c>
      <c r="D49" s="6" t="s">
        <v>290</v>
      </c>
      <c r="E49" s="7">
        <v>45396.0</v>
      </c>
      <c r="F49" s="6" t="s">
        <v>291</v>
      </c>
      <c r="G49" s="6" t="s">
        <v>292</v>
      </c>
      <c r="H49" s="13">
        <v>0.0959</v>
      </c>
      <c r="I49" s="9">
        <v>12.0</v>
      </c>
      <c r="J49" s="10">
        <v>322.0</v>
      </c>
      <c r="K49" s="9" t="s">
        <v>293</v>
      </c>
      <c r="L49" s="9" t="s">
        <v>294</v>
      </c>
      <c r="M49" s="9" t="s">
        <v>295</v>
      </c>
      <c r="N49" s="11">
        <v>2024.0</v>
      </c>
    </row>
    <row r="50" ht="15.75" customHeight="1">
      <c r="A50" s="5" t="s">
        <v>15</v>
      </c>
      <c r="B50" s="6" t="str">
        <f t="array" ref="B50">XLOOKUP(C50,city_to_region!$B$5:$B$96,city_to_region!$A$5:$A$96)</f>
        <v>Атырауская</v>
      </c>
      <c r="C50" s="6" t="s">
        <v>37</v>
      </c>
      <c r="D50" s="6" t="s">
        <v>296</v>
      </c>
      <c r="E50" s="7">
        <v>45396.0</v>
      </c>
      <c r="F50" s="6" t="s">
        <v>297</v>
      </c>
      <c r="G50" s="6" t="s">
        <v>298</v>
      </c>
      <c r="H50" s="13">
        <v>0.1136</v>
      </c>
      <c r="I50" s="9">
        <v>14.2</v>
      </c>
      <c r="J50" s="10">
        <v>311.0</v>
      </c>
      <c r="K50" s="9" t="s">
        <v>299</v>
      </c>
      <c r="L50" s="9" t="s">
        <v>300</v>
      </c>
      <c r="M50" s="9" t="s">
        <v>301</v>
      </c>
      <c r="N50" s="11">
        <v>2024.0</v>
      </c>
    </row>
    <row r="51" ht="15.75" customHeight="1">
      <c r="A51" s="5" t="s">
        <v>15</v>
      </c>
      <c r="B51" s="6" t="str">
        <f t="array" ref="B51">XLOOKUP(C51,city_to_region!$B$5:$B$96,city_to_region!$A$5:$A$96)</f>
        <v>Атырауская</v>
      </c>
      <c r="C51" s="6" t="s">
        <v>37</v>
      </c>
      <c r="D51" s="6" t="s">
        <v>302</v>
      </c>
      <c r="E51" s="7">
        <v>45396.0</v>
      </c>
      <c r="F51" s="6" t="s">
        <v>303</v>
      </c>
      <c r="G51" s="6" t="s">
        <v>298</v>
      </c>
      <c r="H51" s="13">
        <v>0.1044</v>
      </c>
      <c r="I51" s="9">
        <v>13.1</v>
      </c>
      <c r="J51" s="10">
        <v>103.0</v>
      </c>
      <c r="K51" s="9" t="s">
        <v>304</v>
      </c>
      <c r="L51" s="9" t="s">
        <v>305</v>
      </c>
      <c r="M51" s="9" t="s">
        <v>306</v>
      </c>
      <c r="N51" s="11">
        <v>2024.0</v>
      </c>
    </row>
    <row r="52" ht="20.25" customHeight="1">
      <c r="A52" s="5" t="s">
        <v>15</v>
      </c>
      <c r="B52" s="6" t="str">
        <f t="array" ref="B52">XLOOKUP(C52,city_to_region!$B$5:$B$96,city_to_region!$A$5:$A$96)</f>
        <v>Атырауская</v>
      </c>
      <c r="C52" s="6" t="s">
        <v>37</v>
      </c>
      <c r="D52" s="6" t="s">
        <v>307</v>
      </c>
      <c r="E52" s="7">
        <v>45396.0</v>
      </c>
      <c r="F52" s="6" t="s">
        <v>308</v>
      </c>
      <c r="G52" s="6" t="s">
        <v>298</v>
      </c>
      <c r="H52" s="13">
        <v>0.0836</v>
      </c>
      <c r="I52" s="9">
        <v>10.5</v>
      </c>
      <c r="J52" s="10">
        <v>101.0</v>
      </c>
      <c r="K52" s="9" t="s">
        <v>309</v>
      </c>
      <c r="L52" s="9" t="s">
        <v>310</v>
      </c>
      <c r="M52" s="9" t="s">
        <v>311</v>
      </c>
      <c r="N52" s="11">
        <v>2024.0</v>
      </c>
    </row>
    <row r="53" ht="15.75" customHeight="1">
      <c r="A53" s="5" t="s">
        <v>15</v>
      </c>
      <c r="B53" s="6" t="str">
        <f t="array" ref="B53">XLOOKUP(C53,city_to_region!$B$5:$B$96,city_to_region!$A$5:$A$96)</f>
        <v>Атырауская</v>
      </c>
      <c r="C53" s="6" t="s">
        <v>37</v>
      </c>
      <c r="D53" s="6" t="s">
        <v>312</v>
      </c>
      <c r="E53" s="7">
        <v>45409.0</v>
      </c>
      <c r="F53" s="6" t="s">
        <v>313</v>
      </c>
      <c r="G53" s="6" t="s">
        <v>314</v>
      </c>
      <c r="H53" s="13">
        <v>0.0843</v>
      </c>
      <c r="I53" s="9">
        <v>10.5</v>
      </c>
      <c r="J53" s="10">
        <v>103.0</v>
      </c>
      <c r="K53" s="9" t="s">
        <v>315</v>
      </c>
      <c r="L53" s="9" t="s">
        <v>316</v>
      </c>
      <c r="M53" s="14">
        <v>769.1</v>
      </c>
      <c r="N53" s="11">
        <v>2024.0</v>
      </c>
    </row>
    <row r="54" ht="15.75" customHeight="1">
      <c r="A54" s="5" t="s">
        <v>15</v>
      </c>
      <c r="B54" s="6" t="str">
        <f t="array" ref="B54">XLOOKUP(C54,city_to_region!$B$5:$B$96,city_to_region!$A$5:$A$96)</f>
        <v>Атырауская</v>
      </c>
      <c r="C54" s="6" t="s">
        <v>37</v>
      </c>
      <c r="D54" s="6" t="s">
        <v>317</v>
      </c>
      <c r="E54" s="7">
        <v>45409.0</v>
      </c>
      <c r="F54" s="6" t="s">
        <v>318</v>
      </c>
      <c r="G54" s="6" t="s">
        <v>319</v>
      </c>
      <c r="H54" s="13">
        <v>0.1186</v>
      </c>
      <c r="I54" s="9">
        <v>14.8</v>
      </c>
      <c r="J54" s="10">
        <v>104.0</v>
      </c>
      <c r="K54" s="9" t="s">
        <v>320</v>
      </c>
      <c r="L54" s="9" t="s">
        <v>321</v>
      </c>
      <c r="M54" s="14">
        <v>769.9</v>
      </c>
      <c r="N54" s="11">
        <v>2024.0</v>
      </c>
    </row>
    <row r="55" ht="15.75" customHeight="1">
      <c r="A55" s="5" t="s">
        <v>15</v>
      </c>
      <c r="B55" s="6" t="str">
        <f t="array" ref="B55">XLOOKUP(C55,city_to_region!$B$5:$B$96,city_to_region!$A$5:$A$96)</f>
        <v>Атырауская</v>
      </c>
      <c r="C55" s="6" t="s">
        <v>37</v>
      </c>
      <c r="D55" s="6" t="s">
        <v>322</v>
      </c>
      <c r="E55" s="7">
        <v>45409.0</v>
      </c>
      <c r="F55" s="6" t="s">
        <v>323</v>
      </c>
      <c r="G55" s="6" t="s">
        <v>324</v>
      </c>
      <c r="H55" s="13">
        <v>0.1845</v>
      </c>
      <c r="I55" s="9">
        <v>23.0</v>
      </c>
      <c r="J55" s="10">
        <v>105.0</v>
      </c>
      <c r="K55" s="9" t="s">
        <v>325</v>
      </c>
      <c r="L55" s="9" t="s">
        <v>326</v>
      </c>
      <c r="M55" s="14">
        <v>769.9</v>
      </c>
      <c r="N55" s="11">
        <v>2024.0</v>
      </c>
    </row>
    <row r="56" ht="15.75" customHeight="1">
      <c r="A56" s="5" t="s">
        <v>15</v>
      </c>
      <c r="B56" s="6" t="str">
        <f t="array" ref="B56">XLOOKUP(C56,city_to_region!$B$5:$B$96,city_to_region!$A$5:$A$96)</f>
        <v>Атырауская</v>
      </c>
      <c r="C56" s="6" t="s">
        <v>37</v>
      </c>
      <c r="D56" s="6" t="s">
        <v>327</v>
      </c>
      <c r="E56" s="7">
        <v>45409.0</v>
      </c>
      <c r="F56" s="6" t="s">
        <v>328</v>
      </c>
      <c r="G56" s="6" t="s">
        <v>329</v>
      </c>
      <c r="H56" s="13">
        <v>0.1196</v>
      </c>
      <c r="I56" s="9">
        <v>14.9</v>
      </c>
      <c r="J56" s="10">
        <v>98.0</v>
      </c>
      <c r="K56" s="9" t="s">
        <v>330</v>
      </c>
      <c r="L56" s="9" t="s">
        <v>331</v>
      </c>
      <c r="M56" s="14">
        <v>770.0</v>
      </c>
      <c r="N56" s="11">
        <v>2024.0</v>
      </c>
    </row>
    <row r="57" ht="15.75" customHeight="1">
      <c r="A57" s="5" t="s">
        <v>15</v>
      </c>
      <c r="B57" s="6" t="str">
        <f t="array" ref="B57">XLOOKUP(C57,city_to_region!$B$5:$B$96,city_to_region!$A$5:$A$96)</f>
        <v>Атырауская</v>
      </c>
      <c r="C57" s="6" t="s">
        <v>37</v>
      </c>
      <c r="D57" s="6" t="s">
        <v>332</v>
      </c>
      <c r="E57" s="7">
        <v>45411.0</v>
      </c>
      <c r="F57" s="6" t="s">
        <v>333</v>
      </c>
      <c r="G57" s="6" t="s">
        <v>334</v>
      </c>
      <c r="H57" s="13">
        <v>0.128</v>
      </c>
      <c r="I57" s="9">
        <v>16.0</v>
      </c>
      <c r="J57" s="10">
        <v>101.0</v>
      </c>
      <c r="K57" s="9" t="s">
        <v>335</v>
      </c>
      <c r="L57" s="9" t="s">
        <v>336</v>
      </c>
      <c r="M57" s="14">
        <v>768.0</v>
      </c>
      <c r="N57" s="11">
        <v>2024.0</v>
      </c>
    </row>
    <row r="58" ht="15.75" customHeight="1">
      <c r="A58" s="5" t="s">
        <v>15</v>
      </c>
      <c r="B58" s="6" t="str">
        <f t="array" ref="B58">XLOOKUP(C58,city_to_region!$B$5:$B$96,city_to_region!$A$5:$A$96)</f>
        <v>Атырауская</v>
      </c>
      <c r="C58" s="6" t="s">
        <v>37</v>
      </c>
      <c r="D58" s="6" t="s">
        <v>337</v>
      </c>
      <c r="E58" s="7">
        <v>45411.0</v>
      </c>
      <c r="F58" s="6" t="s">
        <v>338</v>
      </c>
      <c r="G58" s="6" t="s">
        <v>339</v>
      </c>
      <c r="H58" s="13">
        <v>0.1411</v>
      </c>
      <c r="I58" s="9">
        <v>17.6</v>
      </c>
      <c r="J58" s="10">
        <v>106.0</v>
      </c>
      <c r="K58" s="9" t="s">
        <v>340</v>
      </c>
      <c r="L58" s="9" t="s">
        <v>341</v>
      </c>
      <c r="M58" s="14">
        <v>767.9</v>
      </c>
      <c r="N58" s="11">
        <v>2024.0</v>
      </c>
    </row>
    <row r="59" ht="15.75" customHeight="1">
      <c r="A59" s="5" t="s">
        <v>15</v>
      </c>
      <c r="B59" s="6" t="str">
        <f t="array" ref="B59">XLOOKUP(C59,city_to_region!$B$5:$B$96,city_to_region!$A$5:$A$96)</f>
        <v>Атырауская</v>
      </c>
      <c r="C59" s="6" t="s">
        <v>37</v>
      </c>
      <c r="D59" s="6" t="s">
        <v>342</v>
      </c>
      <c r="E59" s="7">
        <v>45411.0</v>
      </c>
      <c r="F59" s="6" t="s">
        <v>343</v>
      </c>
      <c r="G59" s="6" t="s">
        <v>344</v>
      </c>
      <c r="H59" s="13">
        <v>0.187</v>
      </c>
      <c r="I59" s="9">
        <v>23.3</v>
      </c>
      <c r="J59" s="10">
        <v>101.0</v>
      </c>
      <c r="K59" s="9" t="s">
        <v>345</v>
      </c>
      <c r="L59" s="9" t="s">
        <v>346</v>
      </c>
      <c r="M59" s="14">
        <v>767.8</v>
      </c>
      <c r="N59" s="11">
        <v>2024.0</v>
      </c>
    </row>
    <row r="60" ht="15.75" customHeight="1">
      <c r="A60" s="5" t="s">
        <v>15</v>
      </c>
      <c r="B60" s="6" t="str">
        <f t="array" ref="B60">XLOOKUP(C60,city_to_region!$B$5:$B$96,city_to_region!$A$5:$A$96)</f>
        <v>Атырауская</v>
      </c>
      <c r="C60" s="6" t="s">
        <v>37</v>
      </c>
      <c r="D60" s="6" t="s">
        <v>347</v>
      </c>
      <c r="E60" s="7">
        <v>45411.0</v>
      </c>
      <c r="F60" s="6" t="s">
        <v>348</v>
      </c>
      <c r="G60" s="6" t="s">
        <v>349</v>
      </c>
      <c r="H60" s="13">
        <v>0.1789</v>
      </c>
      <c r="I60" s="9">
        <v>22.3</v>
      </c>
      <c r="J60" s="10">
        <v>100.0</v>
      </c>
      <c r="K60" s="9" t="s">
        <v>350</v>
      </c>
      <c r="L60" s="9" t="s">
        <v>351</v>
      </c>
      <c r="M60" s="14">
        <v>767.8</v>
      </c>
      <c r="N60" s="11">
        <v>2024.0</v>
      </c>
    </row>
    <row r="61" ht="15.75" customHeight="1">
      <c r="A61" s="5" t="s">
        <v>15</v>
      </c>
      <c r="B61" s="6" t="str">
        <f t="array" ref="B61">XLOOKUP(C61,city_to_region!$B$5:$B$96,city_to_region!$A$5:$A$96)</f>
        <v>Атырауская</v>
      </c>
      <c r="C61" s="6" t="s">
        <v>37</v>
      </c>
      <c r="D61" s="6" t="s">
        <v>352</v>
      </c>
      <c r="E61" s="7">
        <v>45411.0</v>
      </c>
      <c r="F61" s="6" t="s">
        <v>353</v>
      </c>
      <c r="G61" s="6" t="s">
        <v>354</v>
      </c>
      <c r="H61" s="13">
        <v>0.1693</v>
      </c>
      <c r="I61" s="9">
        <v>21.1</v>
      </c>
      <c r="J61" s="10">
        <v>105.0</v>
      </c>
      <c r="K61" s="9" t="s">
        <v>355</v>
      </c>
      <c r="L61" s="9" t="s">
        <v>356</v>
      </c>
      <c r="M61" s="14">
        <v>767.8</v>
      </c>
      <c r="N61" s="11">
        <v>2024.0</v>
      </c>
    </row>
    <row r="62" ht="15.75" customHeight="1">
      <c r="A62" s="5" t="s">
        <v>15</v>
      </c>
      <c r="B62" s="6" t="str">
        <f t="array" ref="B62">XLOOKUP(C62,city_to_region!$B$5:$B$96,city_to_region!$A$5:$A$96)</f>
        <v>Атырауская</v>
      </c>
      <c r="C62" s="6" t="s">
        <v>37</v>
      </c>
      <c r="D62" s="6" t="s">
        <v>357</v>
      </c>
      <c r="E62" s="7">
        <v>45419.0</v>
      </c>
      <c r="F62" s="6" t="s">
        <v>358</v>
      </c>
      <c r="G62" s="6" t="s">
        <v>359</v>
      </c>
      <c r="H62" s="13">
        <v>0.0842</v>
      </c>
      <c r="I62" s="9">
        <v>10.5</v>
      </c>
      <c r="J62" s="10">
        <v>103.0</v>
      </c>
      <c r="K62" s="9" t="s">
        <v>360</v>
      </c>
      <c r="L62" s="9" t="s">
        <v>361</v>
      </c>
      <c r="M62" s="14">
        <v>760.4</v>
      </c>
      <c r="N62" s="11">
        <v>2024.0</v>
      </c>
    </row>
    <row r="63" ht="15.75" customHeight="1">
      <c r="A63" s="5" t="s">
        <v>15</v>
      </c>
      <c r="B63" s="6" t="str">
        <f t="array" ref="B63">XLOOKUP(C63,city_to_region!$B$5:$B$96,city_to_region!$A$5:$A$96)</f>
        <v>Атырауская</v>
      </c>
      <c r="C63" s="6" t="s">
        <v>37</v>
      </c>
      <c r="D63" s="6" t="s">
        <v>362</v>
      </c>
      <c r="E63" s="7">
        <v>45419.0</v>
      </c>
      <c r="F63" s="6" t="s">
        <v>363</v>
      </c>
      <c r="G63" s="6" t="s">
        <v>364</v>
      </c>
      <c r="H63" s="13">
        <v>0.0858</v>
      </c>
      <c r="I63" s="9">
        <v>10.7</v>
      </c>
      <c r="J63" s="10">
        <v>103.0</v>
      </c>
      <c r="K63" s="9" t="s">
        <v>365</v>
      </c>
      <c r="L63" s="9" t="s">
        <v>366</v>
      </c>
      <c r="M63" s="14">
        <v>760.3</v>
      </c>
      <c r="N63" s="11">
        <v>2024.0</v>
      </c>
    </row>
    <row r="64" ht="15.75" customHeight="1">
      <c r="A64" s="5" t="s">
        <v>15</v>
      </c>
      <c r="B64" s="6" t="str">
        <f t="array" ref="B64">XLOOKUP(C64,city_to_region!$B$5:$B$96,city_to_region!$A$5:$A$96)</f>
        <v>Атырауская</v>
      </c>
      <c r="C64" s="6" t="s">
        <v>37</v>
      </c>
      <c r="D64" s="6" t="s">
        <v>367</v>
      </c>
      <c r="E64" s="7">
        <v>45423.0</v>
      </c>
      <c r="F64" s="6" t="s">
        <v>368</v>
      </c>
      <c r="G64" s="6" t="s">
        <v>369</v>
      </c>
      <c r="H64" s="13">
        <v>0.0878</v>
      </c>
      <c r="I64" s="9">
        <v>11.0</v>
      </c>
      <c r="J64" s="10">
        <v>250.0</v>
      </c>
      <c r="K64" s="15">
        <v>0.39</v>
      </c>
      <c r="L64" s="9" t="s">
        <v>370</v>
      </c>
      <c r="M64" s="14">
        <v>766.7</v>
      </c>
      <c r="N64" s="11">
        <v>2024.0</v>
      </c>
    </row>
    <row r="65" ht="15.75" customHeight="1">
      <c r="A65" s="5" t="s">
        <v>15</v>
      </c>
      <c r="B65" s="6" t="str">
        <f t="array" ref="B65">XLOOKUP(C65,city_to_region!$B$5:$B$96,city_to_region!$A$5:$A$96)</f>
        <v>Атырауская</v>
      </c>
      <c r="C65" s="6" t="s">
        <v>37</v>
      </c>
      <c r="D65" s="6" t="s">
        <v>371</v>
      </c>
      <c r="E65" s="7">
        <v>45423.0</v>
      </c>
      <c r="F65" s="6" t="s">
        <v>372</v>
      </c>
      <c r="G65" s="6" t="s">
        <v>373</v>
      </c>
      <c r="H65" s="13">
        <v>0.0811</v>
      </c>
      <c r="I65" s="9">
        <v>10.1</v>
      </c>
      <c r="J65" s="10">
        <v>155.0</v>
      </c>
      <c r="K65" s="15">
        <v>0.39</v>
      </c>
      <c r="L65" s="9" t="s">
        <v>374</v>
      </c>
      <c r="M65" s="14">
        <v>766.6</v>
      </c>
      <c r="N65" s="11">
        <v>2024.0</v>
      </c>
    </row>
    <row r="66" ht="15.75" customHeight="1">
      <c r="A66" s="5" t="s">
        <v>15</v>
      </c>
      <c r="B66" s="6" t="str">
        <f t="array" ref="B66">XLOOKUP(C66,city_to_region!$B$5:$B$96,city_to_region!$A$5:$A$96)</f>
        <v>Атырауская</v>
      </c>
      <c r="C66" s="6" t="s">
        <v>37</v>
      </c>
      <c r="D66" s="6" t="s">
        <v>375</v>
      </c>
      <c r="E66" s="7">
        <v>45442.0</v>
      </c>
      <c r="F66" s="6" t="s">
        <v>376</v>
      </c>
      <c r="G66" s="6" t="s">
        <v>377</v>
      </c>
      <c r="H66" s="9" t="s">
        <v>378</v>
      </c>
      <c r="I66" s="9">
        <v>12.2</v>
      </c>
      <c r="J66" s="10">
        <v>100.0</v>
      </c>
      <c r="K66" s="9" t="s">
        <v>379</v>
      </c>
      <c r="L66" s="9" t="s">
        <v>380</v>
      </c>
      <c r="M66" s="9" t="s">
        <v>381</v>
      </c>
      <c r="N66" s="11">
        <v>2024.0</v>
      </c>
    </row>
    <row r="67" ht="15.75" customHeight="1">
      <c r="A67" s="5" t="s">
        <v>15</v>
      </c>
      <c r="B67" s="6" t="str">
        <f t="array" ref="B67">XLOOKUP(C67,city_to_region!$B$5:$B$96,city_to_region!$A$5:$A$96)</f>
        <v>Атырауская</v>
      </c>
      <c r="C67" s="6" t="s">
        <v>37</v>
      </c>
      <c r="D67" s="6" t="s">
        <v>382</v>
      </c>
      <c r="E67" s="7">
        <v>45442.0</v>
      </c>
      <c r="F67" s="6" t="s">
        <v>383</v>
      </c>
      <c r="G67" s="6" t="s">
        <v>384</v>
      </c>
      <c r="H67" s="9" t="s">
        <v>385</v>
      </c>
      <c r="I67" s="9">
        <v>32.8</v>
      </c>
      <c r="J67" s="10">
        <v>97.0</v>
      </c>
      <c r="K67" s="9" t="s">
        <v>386</v>
      </c>
      <c r="L67" s="9" t="s">
        <v>387</v>
      </c>
      <c r="M67" s="9" t="s">
        <v>388</v>
      </c>
      <c r="N67" s="11">
        <v>2024.0</v>
      </c>
    </row>
    <row r="68" ht="15.75" customHeight="1">
      <c r="A68" s="5" t="s">
        <v>15</v>
      </c>
      <c r="B68" s="6" t="str">
        <f t="array" ref="B68">XLOOKUP(C68,city_to_region!$B$5:$B$96,city_to_region!$A$5:$A$96)</f>
        <v>Атырауская</v>
      </c>
      <c r="C68" s="6" t="s">
        <v>37</v>
      </c>
      <c r="D68" s="6" t="s">
        <v>389</v>
      </c>
      <c r="E68" s="7">
        <v>45442.0</v>
      </c>
      <c r="F68" s="6" t="s">
        <v>390</v>
      </c>
      <c r="G68" s="6" t="s">
        <v>391</v>
      </c>
      <c r="H68" s="9" t="s">
        <v>392</v>
      </c>
      <c r="I68" s="9">
        <v>15.7</v>
      </c>
      <c r="J68" s="10">
        <v>96.0</v>
      </c>
      <c r="K68" s="9" t="s">
        <v>393</v>
      </c>
      <c r="L68" s="9" t="s">
        <v>394</v>
      </c>
      <c r="M68" s="9" t="s">
        <v>395</v>
      </c>
      <c r="N68" s="11">
        <v>2024.0</v>
      </c>
    </row>
    <row r="69" ht="15.75" customHeight="1">
      <c r="A69" s="5" t="s">
        <v>15</v>
      </c>
      <c r="B69" s="6" t="str">
        <f t="array" ref="B69">XLOOKUP(C69,city_to_region!$B$5:$B$96,city_to_region!$A$5:$A$96)</f>
        <v>Атырауская</v>
      </c>
      <c r="C69" s="6" t="s">
        <v>37</v>
      </c>
      <c r="D69" s="6" t="s">
        <v>396</v>
      </c>
      <c r="E69" s="7">
        <v>45442.0</v>
      </c>
      <c r="F69" s="6" t="s">
        <v>397</v>
      </c>
      <c r="G69" s="6" t="s">
        <v>398</v>
      </c>
      <c r="H69" s="9" t="s">
        <v>399</v>
      </c>
      <c r="I69" s="9">
        <v>21.1</v>
      </c>
      <c r="J69" s="10">
        <v>103.0</v>
      </c>
      <c r="K69" s="9" t="s">
        <v>400</v>
      </c>
      <c r="L69" s="9" t="s">
        <v>401</v>
      </c>
      <c r="M69" s="9" t="s">
        <v>402</v>
      </c>
      <c r="N69" s="11">
        <v>2024.0</v>
      </c>
    </row>
    <row r="70" ht="15.75" customHeight="1">
      <c r="A70" s="5" t="s">
        <v>15</v>
      </c>
      <c r="B70" s="6" t="str">
        <f t="array" ref="B70">XLOOKUP(C70,city_to_region!$B$5:$B$96,city_to_region!$A$5:$A$96)</f>
        <v>Атырауская</v>
      </c>
      <c r="C70" s="6" t="s">
        <v>37</v>
      </c>
      <c r="D70" s="6" t="s">
        <v>403</v>
      </c>
      <c r="E70" s="7">
        <v>45442.0</v>
      </c>
      <c r="F70" s="6" t="s">
        <v>404</v>
      </c>
      <c r="G70" s="6" t="s">
        <v>405</v>
      </c>
      <c r="H70" s="9" t="s">
        <v>406</v>
      </c>
      <c r="I70" s="9">
        <v>22.5</v>
      </c>
      <c r="J70" s="10">
        <v>102.0</v>
      </c>
      <c r="K70" s="9" t="s">
        <v>407</v>
      </c>
      <c r="L70" s="9" t="s">
        <v>408</v>
      </c>
      <c r="M70" s="9" t="s">
        <v>409</v>
      </c>
      <c r="N70" s="11">
        <v>2024.0</v>
      </c>
    </row>
    <row r="71" ht="15.75" customHeight="1">
      <c r="A71" s="5" t="s">
        <v>15</v>
      </c>
      <c r="B71" s="6" t="str">
        <f t="array" ref="B71">XLOOKUP(C71,city_to_region!$B$5:$B$96,city_to_region!$A$5:$A$96)</f>
        <v>Атырауская</v>
      </c>
      <c r="C71" s="6" t="s">
        <v>37</v>
      </c>
      <c r="D71" s="6" t="s">
        <v>410</v>
      </c>
      <c r="E71" s="7">
        <v>45442.0</v>
      </c>
      <c r="F71" s="6" t="s">
        <v>411</v>
      </c>
      <c r="G71" s="6" t="s">
        <v>412</v>
      </c>
      <c r="H71" s="9" t="s">
        <v>413</v>
      </c>
      <c r="I71" s="9">
        <v>16.8</v>
      </c>
      <c r="J71" s="10">
        <v>104.0</v>
      </c>
      <c r="K71" s="9" t="s">
        <v>414</v>
      </c>
      <c r="L71" s="9" t="s">
        <v>415</v>
      </c>
      <c r="M71" s="9" t="s">
        <v>416</v>
      </c>
      <c r="N71" s="11">
        <v>2024.0</v>
      </c>
    </row>
    <row r="72" ht="15.75" customHeight="1">
      <c r="A72" s="5" t="s">
        <v>15</v>
      </c>
      <c r="B72" s="6" t="str">
        <f t="array" ref="B72">XLOOKUP(C72,city_to_region!$B$5:$B$96,city_to_region!$A$5:$A$96)</f>
        <v>Атырауская</v>
      </c>
      <c r="C72" s="6" t="s">
        <v>37</v>
      </c>
      <c r="D72" s="6" t="s">
        <v>417</v>
      </c>
      <c r="E72" s="7">
        <v>45442.0</v>
      </c>
      <c r="F72" s="6" t="s">
        <v>418</v>
      </c>
      <c r="G72" s="6" t="s">
        <v>419</v>
      </c>
      <c r="H72" s="9" t="s">
        <v>420</v>
      </c>
      <c r="I72" s="9">
        <v>13.2</v>
      </c>
      <c r="J72" s="10">
        <v>101.0</v>
      </c>
      <c r="K72" s="9" t="s">
        <v>421</v>
      </c>
      <c r="L72" s="9" t="s">
        <v>422</v>
      </c>
      <c r="M72" s="9" t="s">
        <v>423</v>
      </c>
      <c r="N72" s="11">
        <v>2024.0</v>
      </c>
    </row>
    <row r="73" ht="15.75" customHeight="1">
      <c r="A73" s="5" t="s">
        <v>15</v>
      </c>
      <c r="B73" s="6" t="str">
        <f t="array" ref="B73">XLOOKUP(C73,city_to_region!$B$5:$B$96,city_to_region!$A$5:$A$96)</f>
        <v>Атырауская</v>
      </c>
      <c r="C73" s="6" t="s">
        <v>37</v>
      </c>
      <c r="D73" s="6" t="s">
        <v>424</v>
      </c>
      <c r="E73" s="7">
        <v>45442.0</v>
      </c>
      <c r="F73" s="6" t="s">
        <v>425</v>
      </c>
      <c r="G73" s="6" t="s">
        <v>426</v>
      </c>
      <c r="H73" s="9" t="s">
        <v>427</v>
      </c>
      <c r="I73" s="9">
        <v>23.6</v>
      </c>
      <c r="J73" s="10">
        <v>103.0</v>
      </c>
      <c r="K73" s="9" t="s">
        <v>428</v>
      </c>
      <c r="L73" s="9" t="s">
        <v>429</v>
      </c>
      <c r="M73" s="9" t="s">
        <v>430</v>
      </c>
      <c r="N73" s="11">
        <v>2024.0</v>
      </c>
    </row>
    <row r="74" ht="15.75" customHeight="1">
      <c r="A74" s="5" t="s">
        <v>15</v>
      </c>
      <c r="B74" s="6" t="str">
        <f t="array" ref="B74">XLOOKUP(C74,city_to_region!$B$5:$B$96,city_to_region!$A$5:$A$96)</f>
        <v>Атырауская</v>
      </c>
      <c r="C74" s="6" t="s">
        <v>37</v>
      </c>
      <c r="D74" s="6" t="s">
        <v>431</v>
      </c>
      <c r="E74" s="7">
        <v>45442.0</v>
      </c>
      <c r="F74" s="6" t="s">
        <v>432</v>
      </c>
      <c r="G74" s="6" t="s">
        <v>433</v>
      </c>
      <c r="H74" s="9" t="s">
        <v>434</v>
      </c>
      <c r="I74" s="9">
        <v>17.0</v>
      </c>
      <c r="J74" s="10">
        <v>107.0</v>
      </c>
      <c r="K74" s="9" t="s">
        <v>435</v>
      </c>
      <c r="L74" s="9" t="s">
        <v>436</v>
      </c>
      <c r="M74" s="9" t="s">
        <v>437</v>
      </c>
      <c r="N74" s="11">
        <v>2024.0</v>
      </c>
    </row>
    <row r="75" ht="15.75" customHeight="1">
      <c r="A75" s="5" t="s">
        <v>15</v>
      </c>
      <c r="B75" s="6" t="str">
        <f t="array" ref="B75">XLOOKUP(C75,city_to_region!$B$5:$B$96,city_to_region!$A$5:$A$96)</f>
        <v>Атырауская</v>
      </c>
      <c r="C75" s="6" t="s">
        <v>37</v>
      </c>
      <c r="D75" s="6" t="s">
        <v>438</v>
      </c>
      <c r="E75" s="7">
        <v>45442.0</v>
      </c>
      <c r="F75" s="6" t="s">
        <v>439</v>
      </c>
      <c r="G75" s="6" t="s">
        <v>440</v>
      </c>
      <c r="H75" s="9" t="s">
        <v>441</v>
      </c>
      <c r="I75" s="9">
        <v>21.7</v>
      </c>
      <c r="J75" s="10">
        <v>92.0</v>
      </c>
      <c r="K75" s="9" t="s">
        <v>442</v>
      </c>
      <c r="L75" s="9" t="s">
        <v>443</v>
      </c>
      <c r="M75" s="9" t="s">
        <v>444</v>
      </c>
      <c r="N75" s="11">
        <v>2024.0</v>
      </c>
    </row>
    <row r="76" ht="15.75" customHeight="1">
      <c r="A76" s="5" t="s">
        <v>15</v>
      </c>
      <c r="B76" s="6" t="str">
        <f t="array" ref="B76">XLOOKUP(C76,city_to_region!$B$5:$B$96,city_to_region!$A$5:$A$96)</f>
        <v>Атырауская</v>
      </c>
      <c r="C76" s="6" t="s">
        <v>37</v>
      </c>
      <c r="D76" s="6" t="s">
        <v>445</v>
      </c>
      <c r="E76" s="7">
        <v>45442.0</v>
      </c>
      <c r="F76" s="6" t="s">
        <v>446</v>
      </c>
      <c r="G76" s="6" t="s">
        <v>447</v>
      </c>
      <c r="H76" s="9" t="s">
        <v>448</v>
      </c>
      <c r="I76" s="9">
        <v>12.3</v>
      </c>
      <c r="J76" s="10">
        <v>109.0</v>
      </c>
      <c r="K76" s="9" t="s">
        <v>449</v>
      </c>
      <c r="L76" s="9" t="s">
        <v>450</v>
      </c>
      <c r="M76" s="9" t="s">
        <v>451</v>
      </c>
      <c r="N76" s="11">
        <v>2024.0</v>
      </c>
    </row>
    <row r="77" ht="15.75" customHeight="1">
      <c r="A77" s="5" t="s">
        <v>15</v>
      </c>
      <c r="B77" s="6" t="str">
        <f t="array" ref="B77">XLOOKUP(C77,city_to_region!$B$5:$B$96,city_to_region!$A$5:$A$96)</f>
        <v>Атырауская</v>
      </c>
      <c r="C77" s="6" t="s">
        <v>37</v>
      </c>
      <c r="D77" s="6" t="s">
        <v>452</v>
      </c>
      <c r="E77" s="7">
        <v>45442.0</v>
      </c>
      <c r="F77" s="6" t="s">
        <v>453</v>
      </c>
      <c r="G77" s="6" t="s">
        <v>454</v>
      </c>
      <c r="H77" s="9" t="s">
        <v>455</v>
      </c>
      <c r="I77" s="9">
        <v>25.2</v>
      </c>
      <c r="J77" s="10">
        <v>117.0</v>
      </c>
      <c r="K77" s="9" t="s">
        <v>456</v>
      </c>
      <c r="L77" s="9" t="s">
        <v>457</v>
      </c>
      <c r="M77" s="9" t="s">
        <v>458</v>
      </c>
      <c r="N77" s="11">
        <v>2024.0</v>
      </c>
    </row>
    <row r="78" ht="15.75" customHeight="1">
      <c r="A78" s="5" t="s">
        <v>15</v>
      </c>
      <c r="B78" s="6" t="str">
        <f t="array" ref="B78">XLOOKUP(C78,city_to_region!$B$5:$B$96,city_to_region!$A$5:$A$96)</f>
        <v>Атырауская</v>
      </c>
      <c r="C78" s="6" t="s">
        <v>37</v>
      </c>
      <c r="D78" s="6" t="s">
        <v>459</v>
      </c>
      <c r="E78" s="7">
        <v>45443.0</v>
      </c>
      <c r="F78" s="6" t="s">
        <v>460</v>
      </c>
      <c r="G78" s="6" t="s">
        <v>461</v>
      </c>
      <c r="H78" s="9" t="s">
        <v>462</v>
      </c>
      <c r="I78" s="9">
        <v>11.1</v>
      </c>
      <c r="J78" s="10">
        <v>100.0</v>
      </c>
      <c r="K78" s="9" t="s">
        <v>463</v>
      </c>
      <c r="L78" s="9" t="s">
        <v>464</v>
      </c>
      <c r="M78" s="9" t="s">
        <v>465</v>
      </c>
      <c r="N78" s="11">
        <v>2024.0</v>
      </c>
    </row>
    <row r="79" ht="15.75" customHeight="1">
      <c r="A79" s="5" t="s">
        <v>15</v>
      </c>
      <c r="B79" s="6" t="str">
        <f t="array" ref="B79">XLOOKUP(C79,city_to_region!$B$5:$B$96,city_to_region!$A$5:$A$96)</f>
        <v>Атырауская</v>
      </c>
      <c r="C79" s="6" t="s">
        <v>37</v>
      </c>
      <c r="D79" s="6" t="s">
        <v>466</v>
      </c>
      <c r="E79" s="7">
        <v>45443.0</v>
      </c>
      <c r="F79" s="6" t="s">
        <v>467</v>
      </c>
      <c r="G79" s="6" t="s">
        <v>468</v>
      </c>
      <c r="H79" s="9" t="s">
        <v>469</v>
      </c>
      <c r="I79" s="9">
        <v>47.8</v>
      </c>
      <c r="J79" s="10">
        <v>94.0</v>
      </c>
      <c r="K79" s="9" t="s">
        <v>470</v>
      </c>
      <c r="L79" s="9" t="s">
        <v>471</v>
      </c>
      <c r="M79" s="9" t="s">
        <v>472</v>
      </c>
      <c r="N79" s="11">
        <v>2024.0</v>
      </c>
    </row>
    <row r="80" ht="27.75" customHeight="1">
      <c r="A80" s="5" t="s">
        <v>15</v>
      </c>
      <c r="B80" s="6" t="str">
        <f t="array" ref="B80">XLOOKUP(C80,city_to_region!$B$5:$B$96,city_to_region!$A$5:$A$96)</f>
        <v>Атырауская</v>
      </c>
      <c r="C80" s="6" t="s">
        <v>37</v>
      </c>
      <c r="D80" s="6" t="s">
        <v>473</v>
      </c>
      <c r="E80" s="7">
        <v>45443.0</v>
      </c>
      <c r="F80" s="6" t="s">
        <v>474</v>
      </c>
      <c r="G80" s="6" t="s">
        <v>475</v>
      </c>
      <c r="H80" s="9" t="s">
        <v>476</v>
      </c>
      <c r="I80" s="9">
        <v>14.0</v>
      </c>
      <c r="J80" s="10">
        <v>108.0</v>
      </c>
      <c r="K80" s="9" t="s">
        <v>477</v>
      </c>
      <c r="L80" s="9" t="s">
        <v>478</v>
      </c>
      <c r="M80" s="9" t="s">
        <v>479</v>
      </c>
      <c r="N80" s="11">
        <v>2024.0</v>
      </c>
    </row>
    <row r="81" ht="15.75" customHeight="1">
      <c r="A81" s="5" t="s">
        <v>15</v>
      </c>
      <c r="B81" s="6" t="str">
        <f t="array" ref="B81">XLOOKUP(C81,city_to_region!$B$5:$B$96,city_to_region!$A$5:$A$96)</f>
        <v>Атырауская</v>
      </c>
      <c r="C81" s="6" t="s">
        <v>37</v>
      </c>
      <c r="D81" s="6" t="s">
        <v>480</v>
      </c>
      <c r="E81" s="7">
        <v>45444.0</v>
      </c>
      <c r="F81" s="6" t="s">
        <v>481</v>
      </c>
      <c r="G81" s="6" t="s">
        <v>482</v>
      </c>
      <c r="H81" s="13">
        <v>0.1127</v>
      </c>
      <c r="I81" s="9">
        <v>14.1</v>
      </c>
      <c r="J81" s="10">
        <v>101.0</v>
      </c>
      <c r="K81" s="9" t="s">
        <v>483</v>
      </c>
      <c r="L81" s="9" t="s">
        <v>484</v>
      </c>
      <c r="M81" s="14">
        <v>761.4</v>
      </c>
      <c r="N81" s="11">
        <v>2024.0</v>
      </c>
    </row>
    <row r="82" ht="15.75" customHeight="1">
      <c r="A82" s="5" t="s">
        <v>15</v>
      </c>
      <c r="B82" s="6" t="str">
        <f t="array" ref="B82">XLOOKUP(C82,city_to_region!$B$5:$B$96,city_to_region!$A$5:$A$96)</f>
        <v>Атырауская</v>
      </c>
      <c r="C82" s="6" t="s">
        <v>37</v>
      </c>
      <c r="D82" s="6" t="s">
        <v>485</v>
      </c>
      <c r="E82" s="7">
        <v>45444.0</v>
      </c>
      <c r="F82" s="6" t="s">
        <v>486</v>
      </c>
      <c r="G82" s="6" t="s">
        <v>487</v>
      </c>
      <c r="H82" s="13">
        <v>0.2199</v>
      </c>
      <c r="I82" s="9">
        <v>27.5</v>
      </c>
      <c r="J82" s="10">
        <v>103.0</v>
      </c>
      <c r="K82" s="9" t="s">
        <v>488</v>
      </c>
      <c r="L82" s="9" t="s">
        <v>489</v>
      </c>
      <c r="M82" s="14">
        <v>761.4</v>
      </c>
      <c r="N82" s="11">
        <v>2024.0</v>
      </c>
    </row>
    <row r="83" ht="15.75" customHeight="1">
      <c r="A83" s="5" t="s">
        <v>15</v>
      </c>
      <c r="B83" s="6" t="str">
        <f t="array" ref="B83">XLOOKUP(C83,city_to_region!$B$5:$B$96,city_to_region!$A$5:$A$96)</f>
        <v>Атырауская</v>
      </c>
      <c r="C83" s="6" t="s">
        <v>37</v>
      </c>
      <c r="D83" s="6" t="s">
        <v>490</v>
      </c>
      <c r="E83" s="7">
        <v>45444.0</v>
      </c>
      <c r="F83" s="6" t="s">
        <v>491</v>
      </c>
      <c r="G83" s="6" t="s">
        <v>492</v>
      </c>
      <c r="H83" s="13">
        <v>0.1584</v>
      </c>
      <c r="I83" s="9">
        <v>19.8</v>
      </c>
      <c r="J83" s="10">
        <v>99.0</v>
      </c>
      <c r="K83" s="9" t="s">
        <v>493</v>
      </c>
      <c r="L83" s="9" t="s">
        <v>494</v>
      </c>
      <c r="M83" s="14">
        <v>761.3</v>
      </c>
      <c r="N83" s="11">
        <v>2024.0</v>
      </c>
    </row>
    <row r="84" ht="15.75" customHeight="1">
      <c r="A84" s="5" t="s">
        <v>15</v>
      </c>
      <c r="B84" s="6" t="str">
        <f t="array" ref="B84">XLOOKUP(C84,city_to_region!$B$5:$B$96,city_to_region!$A$5:$A$96)</f>
        <v>Атырауская</v>
      </c>
      <c r="C84" s="6" t="s">
        <v>37</v>
      </c>
      <c r="D84" s="6" t="s">
        <v>495</v>
      </c>
      <c r="E84" s="7">
        <v>45444.0</v>
      </c>
      <c r="F84" s="6" t="s">
        <v>496</v>
      </c>
      <c r="G84" s="6" t="s">
        <v>497</v>
      </c>
      <c r="H84" s="13">
        <v>0.3574</v>
      </c>
      <c r="I84" s="9">
        <v>44.6</v>
      </c>
      <c r="J84" s="10">
        <v>101.0</v>
      </c>
      <c r="K84" s="9" t="s">
        <v>498</v>
      </c>
      <c r="L84" s="9" t="s">
        <v>499</v>
      </c>
      <c r="M84" s="14">
        <v>761.3</v>
      </c>
      <c r="N84" s="11">
        <v>2024.0</v>
      </c>
    </row>
    <row r="85" ht="15.75" customHeight="1">
      <c r="A85" s="5" t="s">
        <v>15</v>
      </c>
      <c r="B85" s="6" t="str">
        <f t="array" ref="B85">XLOOKUP(C85,city_to_region!$B$5:$B$96,city_to_region!$A$5:$A$96)</f>
        <v>Атырауская</v>
      </c>
      <c r="C85" s="6" t="s">
        <v>37</v>
      </c>
      <c r="D85" s="6" t="s">
        <v>500</v>
      </c>
      <c r="E85" s="7">
        <v>45444.0</v>
      </c>
      <c r="F85" s="6" t="s">
        <v>501</v>
      </c>
      <c r="G85" s="6" t="s">
        <v>502</v>
      </c>
      <c r="H85" s="13">
        <v>0.1378</v>
      </c>
      <c r="I85" s="9">
        <v>17.2</v>
      </c>
      <c r="J85" s="10">
        <v>106.0</v>
      </c>
      <c r="K85" s="9" t="s">
        <v>503</v>
      </c>
      <c r="L85" s="9" t="s">
        <v>504</v>
      </c>
      <c r="M85" s="14">
        <v>761.3</v>
      </c>
      <c r="N85" s="11">
        <v>2024.0</v>
      </c>
    </row>
    <row r="86" ht="15.75" customHeight="1">
      <c r="A86" s="5" t="s">
        <v>15</v>
      </c>
      <c r="B86" s="6" t="str">
        <f t="array" ref="B86">XLOOKUP(C86,city_to_region!$B$5:$B$96,city_to_region!$A$5:$A$96)</f>
        <v>Атырауская</v>
      </c>
      <c r="C86" s="6" t="s">
        <v>37</v>
      </c>
      <c r="D86" s="6" t="s">
        <v>505</v>
      </c>
      <c r="E86" s="7">
        <v>45444.0</v>
      </c>
      <c r="F86" s="6" t="s">
        <v>506</v>
      </c>
      <c r="G86" s="6" t="s">
        <v>507</v>
      </c>
      <c r="H86" s="13">
        <v>0.1162</v>
      </c>
      <c r="I86" s="9">
        <v>14.5</v>
      </c>
      <c r="J86" s="10">
        <v>111.0</v>
      </c>
      <c r="K86" s="9" t="s">
        <v>508</v>
      </c>
      <c r="L86" s="9" t="s">
        <v>509</v>
      </c>
      <c r="M86" s="14">
        <v>762.2</v>
      </c>
      <c r="N86" s="11">
        <v>2024.0</v>
      </c>
    </row>
    <row r="87" ht="15.75" customHeight="1">
      <c r="A87" s="5" t="s">
        <v>15</v>
      </c>
      <c r="B87" s="6" t="str">
        <f t="array" ref="B87">XLOOKUP(C87,city_to_region!$B$5:$B$96,city_to_region!$A$5:$A$96)</f>
        <v>Атырауская</v>
      </c>
      <c r="C87" s="6" t="s">
        <v>37</v>
      </c>
      <c r="D87" s="6" t="s">
        <v>510</v>
      </c>
      <c r="E87" s="7">
        <v>45455.0</v>
      </c>
      <c r="F87" s="6" t="s">
        <v>511</v>
      </c>
      <c r="G87" s="6" t="s">
        <v>512</v>
      </c>
      <c r="H87" s="13">
        <v>0.096</v>
      </c>
      <c r="I87" s="16">
        <v>12.0</v>
      </c>
      <c r="J87" s="10">
        <v>52.0</v>
      </c>
      <c r="K87" s="9" t="s">
        <v>513</v>
      </c>
      <c r="L87" s="9" t="s">
        <v>514</v>
      </c>
      <c r="M87" s="14">
        <v>761.6</v>
      </c>
      <c r="N87" s="11">
        <v>2024.0</v>
      </c>
    </row>
    <row r="88" ht="15.75" customHeight="1">
      <c r="A88" s="5" t="s">
        <v>15</v>
      </c>
      <c r="B88" s="6" t="str">
        <f t="array" ref="B88">XLOOKUP(C88,city_to_region!$B$5:$B$96,city_to_region!$A$5:$A$96)</f>
        <v>Атырауская</v>
      </c>
      <c r="C88" s="6" t="s">
        <v>37</v>
      </c>
      <c r="D88" s="6" t="s">
        <v>515</v>
      </c>
      <c r="E88" s="7">
        <v>45458.0</v>
      </c>
      <c r="F88" s="6" t="s">
        <v>516</v>
      </c>
      <c r="G88" s="6" t="s">
        <v>517</v>
      </c>
      <c r="H88" s="13">
        <v>0.13</v>
      </c>
      <c r="I88" s="9">
        <v>16.2</v>
      </c>
      <c r="J88" s="10">
        <v>100.0</v>
      </c>
      <c r="K88" s="9" t="s">
        <v>518</v>
      </c>
      <c r="L88" s="9" t="s">
        <v>519</v>
      </c>
      <c r="M88" s="14">
        <v>756.9</v>
      </c>
      <c r="N88" s="11">
        <v>2024.0</v>
      </c>
    </row>
    <row r="89" ht="15.75" customHeight="1">
      <c r="A89" s="5" t="s">
        <v>15</v>
      </c>
      <c r="B89" s="6" t="str">
        <f t="array" ref="B89">XLOOKUP(C89,city_to_region!$B$5:$B$96,city_to_region!$A$5:$A$96)</f>
        <v>Атырауская</v>
      </c>
      <c r="C89" s="6" t="s">
        <v>37</v>
      </c>
      <c r="D89" s="6" t="s">
        <v>520</v>
      </c>
      <c r="E89" s="7">
        <v>45458.0</v>
      </c>
      <c r="F89" s="6" t="s">
        <v>521</v>
      </c>
      <c r="G89" s="6" t="s">
        <v>522</v>
      </c>
      <c r="H89" s="13">
        <v>0.0897</v>
      </c>
      <c r="I89" s="9">
        <v>11.2</v>
      </c>
      <c r="J89" s="10">
        <v>92.0</v>
      </c>
      <c r="K89" s="9" t="s">
        <v>523</v>
      </c>
      <c r="L89" s="9" t="s">
        <v>524</v>
      </c>
      <c r="M89" s="14">
        <v>757.4</v>
      </c>
      <c r="N89" s="11">
        <v>2024.0</v>
      </c>
    </row>
    <row r="90" ht="15.75" customHeight="1">
      <c r="A90" s="5" t="s">
        <v>15</v>
      </c>
      <c r="B90" s="6" t="str">
        <f t="array" ref="B90">XLOOKUP(C90,city_to_region!$B$5:$B$96,city_to_region!$A$5:$A$96)</f>
        <v>Атырауская</v>
      </c>
      <c r="C90" s="6" t="s">
        <v>37</v>
      </c>
      <c r="D90" s="6" t="s">
        <v>525</v>
      </c>
      <c r="E90" s="7">
        <v>45459.0</v>
      </c>
      <c r="F90" s="6" t="s">
        <v>526</v>
      </c>
      <c r="G90" s="6" t="s">
        <v>527</v>
      </c>
      <c r="H90" s="13">
        <v>0.0937</v>
      </c>
      <c r="I90" s="9">
        <v>11.7</v>
      </c>
      <c r="J90" s="10">
        <v>281.0</v>
      </c>
      <c r="K90" s="9" t="s">
        <v>528</v>
      </c>
      <c r="L90" s="9" t="s">
        <v>529</v>
      </c>
      <c r="M90" s="14">
        <v>757.5</v>
      </c>
      <c r="N90" s="11">
        <v>2024.0</v>
      </c>
    </row>
    <row r="91" ht="15.75" customHeight="1">
      <c r="A91" s="5" t="s">
        <v>15</v>
      </c>
      <c r="B91" s="6" t="str">
        <f t="array" ref="B91">XLOOKUP(C91,city_to_region!$B$5:$B$96,city_to_region!$A$5:$A$96)</f>
        <v>Атырауская</v>
      </c>
      <c r="C91" s="6" t="s">
        <v>37</v>
      </c>
      <c r="D91" s="6" t="s">
        <v>530</v>
      </c>
      <c r="E91" s="7">
        <v>45459.0</v>
      </c>
      <c r="F91" s="6" t="s">
        <v>531</v>
      </c>
      <c r="G91" s="6" t="s">
        <v>532</v>
      </c>
      <c r="H91" s="13">
        <v>0.0925</v>
      </c>
      <c r="I91" s="9">
        <v>11.7</v>
      </c>
      <c r="J91" s="10">
        <v>203.0</v>
      </c>
      <c r="K91" s="9" t="s">
        <v>533</v>
      </c>
      <c r="L91" s="9" t="s">
        <v>534</v>
      </c>
      <c r="M91" s="14">
        <v>758.7</v>
      </c>
      <c r="N91" s="11">
        <v>2024.0</v>
      </c>
    </row>
    <row r="92" ht="15.75" customHeight="1">
      <c r="A92" s="5" t="s">
        <v>15</v>
      </c>
      <c r="B92" s="6" t="str">
        <f t="array" ref="B92">XLOOKUP(C92,city_to_region!$B$5:$B$96,city_to_region!$A$5:$A$96)</f>
        <v>Атырауская</v>
      </c>
      <c r="C92" s="6" t="s">
        <v>37</v>
      </c>
      <c r="D92" s="6" t="s">
        <v>535</v>
      </c>
      <c r="E92" s="7">
        <v>45462.0</v>
      </c>
      <c r="F92" s="6" t="s">
        <v>536</v>
      </c>
      <c r="G92" s="6" t="s">
        <v>537</v>
      </c>
      <c r="H92" s="13">
        <v>0.1355</v>
      </c>
      <c r="I92" s="9">
        <v>16.9</v>
      </c>
      <c r="J92" s="10">
        <v>167.0</v>
      </c>
      <c r="K92" s="9" t="s">
        <v>538</v>
      </c>
      <c r="L92" s="9" t="s">
        <v>539</v>
      </c>
      <c r="M92" s="14">
        <v>759.6</v>
      </c>
      <c r="N92" s="11">
        <v>2024.0</v>
      </c>
    </row>
    <row r="93" ht="15.75" customHeight="1">
      <c r="A93" s="5" t="s">
        <v>15</v>
      </c>
      <c r="B93" s="6" t="str">
        <f t="array" ref="B93">XLOOKUP(C93,city_to_region!$B$5:$B$96,city_to_region!$A$5:$A$96)</f>
        <v>Атырауская</v>
      </c>
      <c r="C93" s="6" t="s">
        <v>37</v>
      </c>
      <c r="D93" s="6" t="s">
        <v>540</v>
      </c>
      <c r="E93" s="7">
        <v>45462.0</v>
      </c>
      <c r="F93" s="6" t="s">
        <v>541</v>
      </c>
      <c r="G93" s="6" t="s">
        <v>542</v>
      </c>
      <c r="H93" s="13">
        <v>0.0953</v>
      </c>
      <c r="I93" s="9">
        <v>11.9</v>
      </c>
      <c r="J93" s="10">
        <v>208.0</v>
      </c>
      <c r="K93" s="9" t="s">
        <v>543</v>
      </c>
      <c r="L93" s="9" t="s">
        <v>544</v>
      </c>
      <c r="M93" s="14">
        <v>759.6</v>
      </c>
      <c r="N93" s="11">
        <v>2024.0</v>
      </c>
    </row>
    <row r="94" ht="15.75" customHeight="1">
      <c r="A94" s="5" t="s">
        <v>15</v>
      </c>
      <c r="B94" s="6" t="str">
        <f t="array" ref="B94">XLOOKUP(C94,city_to_region!$B$5:$B$96,city_to_region!$A$5:$A$96)</f>
        <v>Атырауская</v>
      </c>
      <c r="C94" s="6" t="s">
        <v>37</v>
      </c>
      <c r="D94" s="6" t="s">
        <v>545</v>
      </c>
      <c r="E94" s="12">
        <v>45464.0</v>
      </c>
      <c r="F94" s="6" t="s">
        <v>546</v>
      </c>
      <c r="G94" s="6" t="s">
        <v>547</v>
      </c>
      <c r="H94" s="13">
        <v>0.1355</v>
      </c>
      <c r="I94" s="9">
        <v>16.9</v>
      </c>
      <c r="J94" s="10">
        <v>216.0</v>
      </c>
      <c r="K94" s="9" t="s">
        <v>548</v>
      </c>
      <c r="L94" s="9" t="s">
        <v>549</v>
      </c>
      <c r="M94" s="14">
        <v>759.0</v>
      </c>
      <c r="N94" s="11">
        <v>2024.0</v>
      </c>
    </row>
    <row r="95" ht="15.75" customHeight="1">
      <c r="A95" s="5" t="s">
        <v>15</v>
      </c>
      <c r="B95" s="6" t="str">
        <f t="array" ref="B95">XLOOKUP(C95,city_to_region!$B$5:$B$96,city_to_region!$A$5:$A$96)</f>
        <v>Атырауская</v>
      </c>
      <c r="C95" s="6" t="s">
        <v>37</v>
      </c>
      <c r="D95" s="6" t="s">
        <v>550</v>
      </c>
      <c r="E95" s="12">
        <v>45464.0</v>
      </c>
      <c r="F95" s="6" t="s">
        <v>551</v>
      </c>
      <c r="G95" s="6" t="s">
        <v>552</v>
      </c>
      <c r="H95" s="13">
        <v>0.0823</v>
      </c>
      <c r="I95" s="9">
        <v>10.2</v>
      </c>
      <c r="J95" s="10">
        <v>109.0</v>
      </c>
      <c r="K95" s="9" t="s">
        <v>553</v>
      </c>
      <c r="L95" s="9" t="s">
        <v>554</v>
      </c>
      <c r="M95" s="14">
        <v>755.7</v>
      </c>
      <c r="N95" s="11">
        <v>2024.0</v>
      </c>
    </row>
    <row r="96" ht="15.75" customHeight="1">
      <c r="A96" s="5" t="s">
        <v>15</v>
      </c>
      <c r="B96" s="6" t="str">
        <f t="array" ref="B96">XLOOKUP(C96,city_to_region!$B$5:$B$96,city_to_region!$A$5:$A$96)</f>
        <v>Атырауская</v>
      </c>
      <c r="C96" s="6" t="s">
        <v>37</v>
      </c>
      <c r="D96" s="6" t="s">
        <v>555</v>
      </c>
      <c r="E96" s="12">
        <v>45474.0</v>
      </c>
      <c r="F96" s="6" t="s">
        <v>556</v>
      </c>
      <c r="G96" s="6" t="s">
        <v>557</v>
      </c>
      <c r="H96" s="13">
        <v>0.0926</v>
      </c>
      <c r="I96" s="9">
        <v>11.5</v>
      </c>
      <c r="J96" s="10">
        <v>145.0</v>
      </c>
      <c r="K96" s="15">
        <v>0.34</v>
      </c>
      <c r="L96" s="9" t="s">
        <v>558</v>
      </c>
      <c r="M96" s="9" t="s">
        <v>559</v>
      </c>
      <c r="N96" s="11">
        <v>2024.0</v>
      </c>
    </row>
    <row r="97" ht="15.75" customHeight="1">
      <c r="A97" s="5" t="s">
        <v>15</v>
      </c>
      <c r="B97" s="6" t="str">
        <f t="array" ref="B97">XLOOKUP(C97,city_to_region!$B$5:$B$96,city_to_region!$A$5:$A$96)</f>
        <v>Атырауская</v>
      </c>
      <c r="C97" s="6" t="s">
        <v>37</v>
      </c>
      <c r="D97" s="6" t="s">
        <v>560</v>
      </c>
      <c r="E97" s="12">
        <v>45479.0</v>
      </c>
      <c r="F97" s="6" t="s">
        <v>561</v>
      </c>
      <c r="G97" s="6" t="s">
        <v>562</v>
      </c>
      <c r="H97" s="13">
        <v>0.0807</v>
      </c>
      <c r="I97" s="9">
        <v>10.0</v>
      </c>
      <c r="J97" s="10">
        <v>119.0</v>
      </c>
      <c r="K97" s="15">
        <v>0.12</v>
      </c>
      <c r="L97" s="9" t="s">
        <v>563</v>
      </c>
      <c r="M97" s="14">
        <v>508.8</v>
      </c>
      <c r="N97" s="11">
        <v>2024.0</v>
      </c>
    </row>
    <row r="98" ht="15.75" customHeight="1">
      <c r="A98" s="5" t="s">
        <v>15</v>
      </c>
      <c r="B98" s="6" t="str">
        <f t="array" ref="B98">XLOOKUP(C98,city_to_region!$B$5:$B$96,city_to_region!$A$5:$A$96)</f>
        <v>Атырауская</v>
      </c>
      <c r="C98" s="6" t="s">
        <v>37</v>
      </c>
      <c r="D98" s="6" t="s">
        <v>564</v>
      </c>
      <c r="E98" s="12">
        <v>45479.0</v>
      </c>
      <c r="F98" s="6" t="s">
        <v>565</v>
      </c>
      <c r="G98" s="6" t="s">
        <v>566</v>
      </c>
      <c r="H98" s="13">
        <v>0.1013</v>
      </c>
      <c r="I98" s="9">
        <v>12.6</v>
      </c>
      <c r="J98" s="10">
        <v>142.0</v>
      </c>
      <c r="K98" s="15">
        <v>0.09</v>
      </c>
      <c r="L98" s="9" t="s">
        <v>567</v>
      </c>
      <c r="M98" s="14">
        <v>507.8</v>
      </c>
      <c r="N98" s="11">
        <v>2024.0</v>
      </c>
    </row>
    <row r="99" ht="15.75" customHeight="1">
      <c r="A99" s="5" t="s">
        <v>15</v>
      </c>
      <c r="B99" s="6" t="str">
        <f t="array" ref="B99">XLOOKUP(C99,city_to_region!$B$5:$B$96,city_to_region!$A$5:$A$96)</f>
        <v>Атырауская</v>
      </c>
      <c r="C99" s="6" t="s">
        <v>37</v>
      </c>
      <c r="D99" s="6" t="s">
        <v>568</v>
      </c>
      <c r="E99" s="12">
        <v>45479.0</v>
      </c>
      <c r="F99" s="6" t="s">
        <v>569</v>
      </c>
      <c r="G99" s="6" t="s">
        <v>570</v>
      </c>
      <c r="H99" s="13">
        <v>0.1135</v>
      </c>
      <c r="I99" s="9">
        <v>14.1</v>
      </c>
      <c r="J99" s="10">
        <v>188.0</v>
      </c>
      <c r="K99" s="15">
        <v>0.05</v>
      </c>
      <c r="L99" s="9" t="s">
        <v>571</v>
      </c>
      <c r="M99" s="14">
        <v>507.8</v>
      </c>
      <c r="N99" s="11">
        <v>2024.0</v>
      </c>
    </row>
    <row r="100" ht="15.75" customHeight="1">
      <c r="A100" s="5" t="s">
        <v>15</v>
      </c>
      <c r="B100" s="6" t="str">
        <f t="array" ref="B100">XLOOKUP(C100,city_to_region!$B$5:$B$96,city_to_region!$A$5:$A$96)</f>
        <v>Атырауская</v>
      </c>
      <c r="C100" s="6" t="s">
        <v>37</v>
      </c>
      <c r="D100" s="6" t="s">
        <v>572</v>
      </c>
      <c r="E100" s="12">
        <v>45479.0</v>
      </c>
      <c r="F100" s="6" t="s">
        <v>573</v>
      </c>
      <c r="G100" s="6" t="s">
        <v>574</v>
      </c>
      <c r="H100" s="13">
        <v>0.091</v>
      </c>
      <c r="I100" s="9">
        <v>11.3</v>
      </c>
      <c r="J100" s="10">
        <v>150.0</v>
      </c>
      <c r="K100" s="15">
        <v>0.03</v>
      </c>
      <c r="L100" s="9" t="s">
        <v>575</v>
      </c>
      <c r="M100" s="14">
        <v>507.8</v>
      </c>
      <c r="N100" s="11">
        <v>2024.0</v>
      </c>
    </row>
    <row r="101" ht="15.75" customHeight="1">
      <c r="A101" s="5" t="s">
        <v>15</v>
      </c>
      <c r="B101" s="6" t="str">
        <f t="array" ref="B101">XLOOKUP(C101,city_to_region!$B$5:$B$96,city_to_region!$A$5:$A$96)</f>
        <v>Атырауская</v>
      </c>
      <c r="C101" s="6" t="s">
        <v>37</v>
      </c>
      <c r="D101" s="6" t="s">
        <v>576</v>
      </c>
      <c r="E101" s="12">
        <v>45479.0</v>
      </c>
      <c r="F101" s="6" t="s">
        <v>577</v>
      </c>
      <c r="G101" s="6" t="s">
        <v>578</v>
      </c>
      <c r="H101" s="13">
        <v>0.101</v>
      </c>
      <c r="I101" s="9">
        <v>12.6</v>
      </c>
      <c r="J101" s="10">
        <v>78.0</v>
      </c>
      <c r="K101" s="15">
        <v>0.11</v>
      </c>
      <c r="L101" s="9" t="s">
        <v>579</v>
      </c>
      <c r="M101" s="9" t="s">
        <v>580</v>
      </c>
      <c r="N101" s="11">
        <v>2024.0</v>
      </c>
    </row>
    <row r="102" ht="15.75" customHeight="1">
      <c r="A102" s="5" t="s">
        <v>15</v>
      </c>
      <c r="B102" s="6" t="str">
        <f t="array" ref="B102">XLOOKUP(C102,city_to_region!$B$5:$B$96,city_to_region!$A$5:$A$96)</f>
        <v>Атырауская</v>
      </c>
      <c r="C102" s="6" t="s">
        <v>37</v>
      </c>
      <c r="D102" s="6" t="s">
        <v>581</v>
      </c>
      <c r="E102" s="12">
        <v>45479.0</v>
      </c>
      <c r="F102" s="6" t="s">
        <v>582</v>
      </c>
      <c r="G102" s="6" t="s">
        <v>583</v>
      </c>
      <c r="H102" s="13">
        <v>0.1051</v>
      </c>
      <c r="I102" s="9">
        <v>13.1</v>
      </c>
      <c r="J102" s="10">
        <v>88.0</v>
      </c>
      <c r="K102" s="15">
        <v>0.14</v>
      </c>
      <c r="L102" s="9" t="s">
        <v>584</v>
      </c>
      <c r="M102" s="9" t="s">
        <v>585</v>
      </c>
      <c r="N102" s="11">
        <v>2024.0</v>
      </c>
    </row>
    <row r="103" ht="15.75" customHeight="1">
      <c r="A103" s="5" t="s">
        <v>15</v>
      </c>
      <c r="B103" s="6" t="str">
        <f t="array" ref="B103">XLOOKUP(C103,city_to_region!$B$5:$B$96,city_to_region!$A$5:$A$96)</f>
        <v>Атырауская</v>
      </c>
      <c r="C103" s="6" t="s">
        <v>37</v>
      </c>
      <c r="D103" s="6" t="s">
        <v>586</v>
      </c>
      <c r="E103" s="12">
        <v>45479.0</v>
      </c>
      <c r="F103" s="6" t="s">
        <v>587</v>
      </c>
      <c r="G103" s="6" t="s">
        <v>588</v>
      </c>
      <c r="H103" s="13">
        <v>0.0826</v>
      </c>
      <c r="I103" s="9">
        <v>10.3</v>
      </c>
      <c r="J103" s="10">
        <v>71.0</v>
      </c>
      <c r="K103" s="15">
        <v>0.13</v>
      </c>
      <c r="L103" s="9" t="s">
        <v>589</v>
      </c>
      <c r="M103" s="9" t="s">
        <v>590</v>
      </c>
      <c r="N103" s="11">
        <v>2024.0</v>
      </c>
    </row>
    <row r="104" ht="15.75" customHeight="1">
      <c r="A104" s="5" t="s">
        <v>15</v>
      </c>
      <c r="B104" s="6" t="str">
        <f t="array" ref="B104">XLOOKUP(C104,city_to_region!$B$5:$B$96,city_to_region!$A$5:$A$96)</f>
        <v>Атырауская</v>
      </c>
      <c r="C104" s="6" t="s">
        <v>37</v>
      </c>
      <c r="D104" s="6" t="s">
        <v>591</v>
      </c>
      <c r="E104" s="12">
        <v>45480.0</v>
      </c>
      <c r="F104" s="6" t="s">
        <v>592</v>
      </c>
      <c r="G104" s="6" t="s">
        <v>593</v>
      </c>
      <c r="H104" s="13">
        <v>0.1257</v>
      </c>
      <c r="I104" s="9">
        <v>15.7</v>
      </c>
      <c r="J104" s="9" t="s">
        <v>594</v>
      </c>
      <c r="K104" s="9" t="s">
        <v>595</v>
      </c>
      <c r="L104" s="9" t="s">
        <v>596</v>
      </c>
      <c r="M104" s="9" t="s">
        <v>597</v>
      </c>
      <c r="N104" s="11">
        <v>2024.0</v>
      </c>
    </row>
    <row r="105" ht="15.75" customHeight="1">
      <c r="A105" s="5" t="s">
        <v>15</v>
      </c>
      <c r="B105" s="6" t="str">
        <f t="array" ref="B105">XLOOKUP(C105,city_to_region!$B$5:$B$96,city_to_region!$A$5:$A$96)</f>
        <v>Атырауская</v>
      </c>
      <c r="C105" s="6" t="s">
        <v>37</v>
      </c>
      <c r="D105" s="6" t="s">
        <v>598</v>
      </c>
      <c r="E105" s="12">
        <v>45480.0</v>
      </c>
      <c r="F105" s="6" t="s">
        <v>599</v>
      </c>
      <c r="G105" s="6" t="s">
        <v>600</v>
      </c>
      <c r="H105" s="13">
        <v>0.1486</v>
      </c>
      <c r="I105" s="9">
        <v>18.5</v>
      </c>
      <c r="J105" s="9" t="s">
        <v>601</v>
      </c>
      <c r="K105" s="9" t="s">
        <v>602</v>
      </c>
      <c r="L105" s="9" t="s">
        <v>603</v>
      </c>
      <c r="M105" s="9" t="s">
        <v>604</v>
      </c>
      <c r="N105" s="11">
        <v>2024.0</v>
      </c>
    </row>
    <row r="106" ht="15.75" customHeight="1">
      <c r="A106" s="5" t="s">
        <v>15</v>
      </c>
      <c r="B106" s="6" t="str">
        <f t="array" ref="B106">XLOOKUP(C106,city_to_region!$B$5:$B$96,city_to_region!$A$5:$A$96)</f>
        <v>Атырауская</v>
      </c>
      <c r="C106" s="6" t="s">
        <v>37</v>
      </c>
      <c r="D106" s="6" t="s">
        <v>605</v>
      </c>
      <c r="E106" s="12">
        <v>45483.0</v>
      </c>
      <c r="F106" s="6" t="s">
        <v>606</v>
      </c>
      <c r="G106" s="6" t="s">
        <v>607</v>
      </c>
      <c r="H106" s="13">
        <v>0.141</v>
      </c>
      <c r="I106" s="9">
        <v>17.6</v>
      </c>
      <c r="J106" s="10">
        <v>186.0</v>
      </c>
      <c r="K106" s="15">
        <v>0.35</v>
      </c>
      <c r="L106" s="9" t="s">
        <v>608</v>
      </c>
      <c r="M106" s="14">
        <v>507.8</v>
      </c>
      <c r="N106" s="11">
        <v>2024.0</v>
      </c>
    </row>
    <row r="107" ht="15.75" customHeight="1">
      <c r="A107" s="5" t="s">
        <v>15</v>
      </c>
      <c r="B107" s="6" t="str">
        <f t="array" ref="B107">XLOOKUP(C107,city_to_region!$B$5:$B$96,city_to_region!$A$5:$A$96)</f>
        <v>Атырауская</v>
      </c>
      <c r="C107" s="6" t="s">
        <v>37</v>
      </c>
      <c r="D107" s="6" t="s">
        <v>609</v>
      </c>
      <c r="E107" s="12">
        <v>45483.0</v>
      </c>
      <c r="F107" s="6" t="s">
        <v>610</v>
      </c>
      <c r="G107" s="6" t="s">
        <v>611</v>
      </c>
      <c r="H107" s="13">
        <v>0.167</v>
      </c>
      <c r="I107" s="9">
        <v>20.8</v>
      </c>
      <c r="J107" s="10">
        <v>123.0</v>
      </c>
      <c r="K107" s="15">
        <v>0.52</v>
      </c>
      <c r="L107" s="9" t="s">
        <v>612</v>
      </c>
      <c r="M107" s="14">
        <v>507.8</v>
      </c>
      <c r="N107" s="11">
        <v>2024.0</v>
      </c>
    </row>
    <row r="108" ht="15.75" customHeight="1">
      <c r="A108" s="5" t="s">
        <v>15</v>
      </c>
      <c r="B108" s="6" t="str">
        <f t="array" ref="B108">XLOOKUP(C108,city_to_region!$B$5:$B$96,city_to_region!$A$5:$A$96)</f>
        <v>Атырауская</v>
      </c>
      <c r="C108" s="6" t="s">
        <v>37</v>
      </c>
      <c r="D108" s="6" t="s">
        <v>613</v>
      </c>
      <c r="E108" s="12">
        <v>45483.0</v>
      </c>
      <c r="F108" s="6" t="s">
        <v>614</v>
      </c>
      <c r="G108" s="6" t="s">
        <v>615</v>
      </c>
      <c r="H108" s="13">
        <v>0.1065</v>
      </c>
      <c r="I108" s="9">
        <v>13.3</v>
      </c>
      <c r="J108" s="10">
        <v>292.0</v>
      </c>
      <c r="K108" s="15">
        <v>0.37</v>
      </c>
      <c r="L108" s="9" t="s">
        <v>616</v>
      </c>
      <c r="M108" s="14">
        <v>507.8</v>
      </c>
      <c r="N108" s="11">
        <v>2024.0</v>
      </c>
    </row>
    <row r="109" ht="15.75" customHeight="1">
      <c r="A109" s="5" t="s">
        <v>15</v>
      </c>
      <c r="B109" s="6" t="str">
        <f t="array" ref="B109">XLOOKUP(C109,city_to_region!$B$5:$B$96,city_to_region!$A$5:$A$96)</f>
        <v>Атырауская</v>
      </c>
      <c r="C109" s="6" t="s">
        <v>37</v>
      </c>
      <c r="D109" s="6" t="s">
        <v>617</v>
      </c>
      <c r="E109" s="12">
        <v>45483.0</v>
      </c>
      <c r="F109" s="6" t="s">
        <v>618</v>
      </c>
      <c r="G109" s="6" t="s">
        <v>619</v>
      </c>
      <c r="H109" s="13">
        <v>0.3162</v>
      </c>
      <c r="I109" s="9">
        <v>39.5</v>
      </c>
      <c r="J109" s="10">
        <v>283.0</v>
      </c>
      <c r="K109" s="15">
        <v>0.3</v>
      </c>
      <c r="L109" s="9" t="s">
        <v>620</v>
      </c>
      <c r="M109" s="14">
        <v>507.8</v>
      </c>
      <c r="N109" s="11">
        <v>2024.0</v>
      </c>
    </row>
    <row r="110" ht="15.75" customHeight="1">
      <c r="A110" s="5" t="s">
        <v>15</v>
      </c>
      <c r="B110" s="6" t="str">
        <f t="array" ref="B110">XLOOKUP(C110,city_to_region!$B$5:$B$96,city_to_region!$A$5:$A$96)</f>
        <v>Атырауская</v>
      </c>
      <c r="C110" s="6" t="s">
        <v>37</v>
      </c>
      <c r="D110" s="6" t="s">
        <v>621</v>
      </c>
      <c r="E110" s="12">
        <v>45483.0</v>
      </c>
      <c r="F110" s="6" t="s">
        <v>622</v>
      </c>
      <c r="G110" s="6" t="s">
        <v>623</v>
      </c>
      <c r="H110" s="13">
        <v>0.3108</v>
      </c>
      <c r="I110" s="9">
        <v>38.8</v>
      </c>
      <c r="J110" s="10">
        <v>285.0</v>
      </c>
      <c r="K110" s="15">
        <v>0.41</v>
      </c>
      <c r="L110" s="9" t="s">
        <v>624</v>
      </c>
      <c r="M110" s="14">
        <v>507.8</v>
      </c>
      <c r="N110" s="11">
        <v>2024.0</v>
      </c>
    </row>
    <row r="111" ht="15.75" customHeight="1">
      <c r="A111" s="5" t="s">
        <v>15</v>
      </c>
      <c r="B111" s="6" t="str">
        <f t="array" ref="B111">XLOOKUP(C111,city_to_region!$B$5:$B$96,city_to_region!$A$5:$A$96)</f>
        <v>Атырауская</v>
      </c>
      <c r="C111" s="6" t="s">
        <v>37</v>
      </c>
      <c r="D111" s="6" t="s">
        <v>625</v>
      </c>
      <c r="E111" s="12">
        <v>45483.0</v>
      </c>
      <c r="F111" s="6" t="s">
        <v>626</v>
      </c>
      <c r="G111" s="6" t="s">
        <v>627</v>
      </c>
      <c r="H111" s="13">
        <v>0.2312</v>
      </c>
      <c r="I111" s="9">
        <v>28.9</v>
      </c>
      <c r="J111" s="9" t="s">
        <v>628</v>
      </c>
      <c r="K111" s="9" t="s">
        <v>629</v>
      </c>
      <c r="L111" s="9" t="s">
        <v>630</v>
      </c>
      <c r="M111" s="9" t="s">
        <v>631</v>
      </c>
      <c r="N111" s="11">
        <v>2024.0</v>
      </c>
    </row>
    <row r="112" ht="15.75" customHeight="1">
      <c r="A112" s="5" t="s">
        <v>15</v>
      </c>
      <c r="B112" s="6" t="str">
        <f t="array" ref="B112">XLOOKUP(C112,city_to_region!$B$5:$B$96,city_to_region!$A$5:$A$96)</f>
        <v>Атырауская</v>
      </c>
      <c r="C112" s="6" t="s">
        <v>37</v>
      </c>
      <c r="D112" s="6" t="s">
        <v>632</v>
      </c>
      <c r="E112" s="12">
        <v>45483.0</v>
      </c>
      <c r="F112" s="6" t="s">
        <v>633</v>
      </c>
      <c r="G112" s="6" t="s">
        <v>634</v>
      </c>
      <c r="H112" s="13">
        <v>0.1783</v>
      </c>
      <c r="I112" s="9">
        <v>22.2</v>
      </c>
      <c r="J112" s="9" t="s">
        <v>635</v>
      </c>
      <c r="K112" s="9" t="s">
        <v>636</v>
      </c>
      <c r="L112" s="9" t="s">
        <v>637</v>
      </c>
      <c r="M112" s="9" t="s">
        <v>638</v>
      </c>
      <c r="N112" s="11">
        <v>2024.0</v>
      </c>
    </row>
    <row r="113" ht="15.75" customHeight="1">
      <c r="A113" s="5" t="s">
        <v>15</v>
      </c>
      <c r="B113" s="6" t="str">
        <f t="array" ref="B113">XLOOKUP(C113,city_to_region!$B$5:$B$96,city_to_region!$A$5:$A$96)</f>
        <v>Атырауская</v>
      </c>
      <c r="C113" s="6" t="s">
        <v>37</v>
      </c>
      <c r="D113" s="6" t="s">
        <v>639</v>
      </c>
      <c r="E113" s="12">
        <v>45483.0</v>
      </c>
      <c r="F113" s="6" t="s">
        <v>640</v>
      </c>
      <c r="G113" s="6" t="s">
        <v>641</v>
      </c>
      <c r="H113" s="17">
        <v>0.09</v>
      </c>
      <c r="I113" s="9">
        <v>11.3</v>
      </c>
      <c r="J113" s="10">
        <v>262.0</v>
      </c>
      <c r="K113" s="9" t="s">
        <v>642</v>
      </c>
      <c r="L113" s="9" t="s">
        <v>643</v>
      </c>
      <c r="M113" s="14">
        <v>507.8</v>
      </c>
      <c r="N113" s="11">
        <v>2024.0</v>
      </c>
    </row>
    <row r="114" ht="15.75" customHeight="1">
      <c r="A114" s="5" t="s">
        <v>15</v>
      </c>
      <c r="B114" s="6" t="str">
        <f t="array" ref="B114">XLOOKUP(C114,city_to_region!$B$5:$B$96,city_to_region!$A$5:$A$96)</f>
        <v>Атырауская</v>
      </c>
      <c r="C114" s="6" t="s">
        <v>37</v>
      </c>
      <c r="D114" s="6" t="s">
        <v>644</v>
      </c>
      <c r="E114" s="12">
        <v>45483.0</v>
      </c>
      <c r="F114" s="6" t="s">
        <v>645</v>
      </c>
      <c r="G114" s="6" t="s">
        <v>646</v>
      </c>
      <c r="H114" s="13">
        <v>0.2303</v>
      </c>
      <c r="I114" s="9">
        <v>28.7</v>
      </c>
      <c r="J114" s="10">
        <v>276.0</v>
      </c>
      <c r="K114" s="15">
        <v>0.53</v>
      </c>
      <c r="L114" s="9" t="s">
        <v>647</v>
      </c>
      <c r="M114" s="14">
        <v>507.8</v>
      </c>
      <c r="N114" s="11">
        <v>2024.0</v>
      </c>
    </row>
    <row r="115" ht="15.75" customHeight="1">
      <c r="A115" s="5" t="s">
        <v>15</v>
      </c>
      <c r="B115" s="6" t="str">
        <f t="array" ref="B115">XLOOKUP(C115,city_to_region!$B$5:$B$96,city_to_region!$A$5:$A$96)</f>
        <v>Атырауская</v>
      </c>
      <c r="C115" s="6" t="s">
        <v>37</v>
      </c>
      <c r="D115" s="6" t="s">
        <v>648</v>
      </c>
      <c r="E115" s="12">
        <v>45483.0</v>
      </c>
      <c r="F115" s="6" t="s">
        <v>649</v>
      </c>
      <c r="G115" s="6" t="s">
        <v>650</v>
      </c>
      <c r="H115" s="13">
        <v>0.1878</v>
      </c>
      <c r="I115" s="9">
        <v>23.4</v>
      </c>
      <c r="J115" s="10">
        <v>278.0</v>
      </c>
      <c r="K115" s="15">
        <v>0.83</v>
      </c>
      <c r="L115" s="9" t="s">
        <v>651</v>
      </c>
      <c r="M115" s="14">
        <v>507.8</v>
      </c>
      <c r="N115" s="11">
        <v>2024.0</v>
      </c>
    </row>
    <row r="116" ht="15.75" customHeight="1">
      <c r="A116" s="5" t="s">
        <v>15</v>
      </c>
      <c r="B116" s="6" t="str">
        <f t="array" ref="B116">XLOOKUP(C116,city_to_region!$B$5:$B$96,city_to_region!$A$5:$A$96)</f>
        <v>Атырауская</v>
      </c>
      <c r="C116" s="6" t="s">
        <v>37</v>
      </c>
      <c r="D116" s="6" t="s">
        <v>652</v>
      </c>
      <c r="E116" s="12">
        <v>45484.0</v>
      </c>
      <c r="F116" s="6" t="s">
        <v>653</v>
      </c>
      <c r="G116" s="6" t="s">
        <v>654</v>
      </c>
      <c r="H116" s="13">
        <v>0.0907</v>
      </c>
      <c r="I116" s="9">
        <v>11.3</v>
      </c>
      <c r="J116" s="10">
        <v>274.0</v>
      </c>
      <c r="K116" s="9" t="s">
        <v>655</v>
      </c>
      <c r="L116" s="9" t="s">
        <v>656</v>
      </c>
      <c r="M116" s="9" t="s">
        <v>657</v>
      </c>
      <c r="N116" s="11">
        <v>2024.0</v>
      </c>
    </row>
    <row r="117" ht="15.75" customHeight="1">
      <c r="A117" s="5" t="s">
        <v>15</v>
      </c>
      <c r="B117" s="6" t="str">
        <f t="array" ref="B117">XLOOKUP(C117,city_to_region!$B$5:$B$96,city_to_region!$A$5:$A$96)</f>
        <v>Атырауская</v>
      </c>
      <c r="C117" s="6" t="s">
        <v>37</v>
      </c>
      <c r="D117" s="6" t="s">
        <v>658</v>
      </c>
      <c r="E117" s="12">
        <v>45484.0</v>
      </c>
      <c r="F117" s="6" t="s">
        <v>659</v>
      </c>
      <c r="G117" s="6" t="s">
        <v>660</v>
      </c>
      <c r="H117" s="13">
        <v>0.2582</v>
      </c>
      <c r="I117" s="9">
        <v>32.2</v>
      </c>
      <c r="J117" s="10">
        <v>248.0</v>
      </c>
      <c r="K117" s="9" t="s">
        <v>661</v>
      </c>
      <c r="L117" s="9" t="s">
        <v>662</v>
      </c>
      <c r="M117" s="9" t="s">
        <v>663</v>
      </c>
      <c r="N117" s="11">
        <v>2024.0</v>
      </c>
    </row>
    <row r="118" ht="15.75" customHeight="1">
      <c r="A118" s="5" t="s">
        <v>15</v>
      </c>
      <c r="B118" s="6" t="str">
        <f t="array" ref="B118">XLOOKUP(C118,city_to_region!$B$5:$B$96,city_to_region!$A$5:$A$96)</f>
        <v>Атырауская</v>
      </c>
      <c r="C118" s="6" t="s">
        <v>37</v>
      </c>
      <c r="D118" s="6" t="s">
        <v>664</v>
      </c>
      <c r="E118" s="12">
        <v>45484.0</v>
      </c>
      <c r="F118" s="6" t="s">
        <v>665</v>
      </c>
      <c r="G118" s="6" t="s">
        <v>666</v>
      </c>
      <c r="H118" s="13">
        <v>0.1236</v>
      </c>
      <c r="I118" s="9">
        <v>15.4</v>
      </c>
      <c r="J118" s="10">
        <v>247.0</v>
      </c>
      <c r="K118" s="9" t="s">
        <v>667</v>
      </c>
      <c r="L118" s="9" t="s">
        <v>668</v>
      </c>
      <c r="M118" s="9" t="s">
        <v>669</v>
      </c>
      <c r="N118" s="11">
        <v>2024.0</v>
      </c>
    </row>
    <row r="119" ht="15.75" customHeight="1">
      <c r="A119" s="5" t="s">
        <v>15</v>
      </c>
      <c r="B119" s="6" t="str">
        <f t="array" ref="B119">XLOOKUP(C119,city_to_region!$B$5:$B$96,city_to_region!$A$5:$A$96)</f>
        <v>Атырауская</v>
      </c>
      <c r="C119" s="6" t="s">
        <v>37</v>
      </c>
      <c r="D119" s="6" t="s">
        <v>670</v>
      </c>
      <c r="E119" s="12">
        <v>45484.0</v>
      </c>
      <c r="F119" s="6" t="s">
        <v>671</v>
      </c>
      <c r="G119" s="6" t="s">
        <v>672</v>
      </c>
      <c r="H119" s="13">
        <v>0.1373</v>
      </c>
      <c r="I119" s="9">
        <v>17.1</v>
      </c>
      <c r="J119" s="10">
        <v>265.0</v>
      </c>
      <c r="K119" s="9" t="s">
        <v>673</v>
      </c>
      <c r="L119" s="9" t="s">
        <v>674</v>
      </c>
      <c r="M119" s="9" t="s">
        <v>675</v>
      </c>
      <c r="N119" s="11">
        <v>2024.0</v>
      </c>
    </row>
    <row r="120" ht="15.75" customHeight="1">
      <c r="A120" s="5" t="s">
        <v>15</v>
      </c>
      <c r="B120" s="6" t="str">
        <f t="array" ref="B120">XLOOKUP(C120,city_to_region!$B$5:$B$96,city_to_region!$A$5:$A$96)</f>
        <v>Атырауская</v>
      </c>
      <c r="C120" s="6" t="s">
        <v>37</v>
      </c>
      <c r="D120" s="6" t="s">
        <v>676</v>
      </c>
      <c r="E120" s="12">
        <v>45484.0</v>
      </c>
      <c r="F120" s="6" t="s">
        <v>677</v>
      </c>
      <c r="G120" s="6" t="s">
        <v>678</v>
      </c>
      <c r="H120" s="13">
        <v>0.3149</v>
      </c>
      <c r="I120" s="9">
        <v>39.3</v>
      </c>
      <c r="J120" s="10">
        <v>261.0</v>
      </c>
      <c r="K120" s="9" t="s">
        <v>679</v>
      </c>
      <c r="L120" s="9" t="s">
        <v>680</v>
      </c>
      <c r="M120" s="9" t="s">
        <v>681</v>
      </c>
      <c r="N120" s="11">
        <v>2024.0</v>
      </c>
    </row>
    <row r="121" ht="15.75" customHeight="1">
      <c r="A121" s="5" t="s">
        <v>15</v>
      </c>
      <c r="B121" s="6" t="str">
        <f t="array" ref="B121">XLOOKUP(C121,city_to_region!$B$5:$B$96,city_to_region!$A$5:$A$96)</f>
        <v>Атырауская</v>
      </c>
      <c r="C121" s="6" t="s">
        <v>37</v>
      </c>
      <c r="D121" s="6" t="s">
        <v>682</v>
      </c>
      <c r="E121" s="12">
        <v>45484.0</v>
      </c>
      <c r="F121" s="6" t="s">
        <v>683</v>
      </c>
      <c r="G121" s="6" t="s">
        <v>684</v>
      </c>
      <c r="H121" s="13">
        <v>0.1078</v>
      </c>
      <c r="I121" s="9">
        <v>13.4</v>
      </c>
      <c r="J121" s="10">
        <v>263.0</v>
      </c>
      <c r="K121" s="9" t="s">
        <v>685</v>
      </c>
      <c r="L121" s="9" t="s">
        <v>686</v>
      </c>
      <c r="M121" s="9" t="s">
        <v>687</v>
      </c>
      <c r="N121" s="11">
        <v>2024.0</v>
      </c>
    </row>
    <row r="122" ht="15.75" customHeight="1">
      <c r="A122" s="5" t="s">
        <v>15</v>
      </c>
      <c r="B122" s="6" t="str">
        <f t="array" ref="B122">XLOOKUP(C122,city_to_region!$B$5:$B$96,city_to_region!$A$5:$A$96)</f>
        <v>Атырауская</v>
      </c>
      <c r="C122" s="6" t="s">
        <v>37</v>
      </c>
      <c r="D122" s="6" t="s">
        <v>688</v>
      </c>
      <c r="E122" s="12">
        <v>45484.0</v>
      </c>
      <c r="F122" s="6" t="s">
        <v>689</v>
      </c>
      <c r="G122" s="6" t="s">
        <v>690</v>
      </c>
      <c r="H122" s="13">
        <v>0.1538</v>
      </c>
      <c r="I122" s="9">
        <v>19.2</v>
      </c>
      <c r="J122" s="10">
        <v>282.0</v>
      </c>
      <c r="K122" s="9" t="s">
        <v>691</v>
      </c>
      <c r="L122" s="9" t="s">
        <v>692</v>
      </c>
      <c r="M122" s="9" t="s">
        <v>693</v>
      </c>
      <c r="N122" s="11">
        <v>2024.0</v>
      </c>
    </row>
    <row r="123" ht="15.75" customHeight="1">
      <c r="A123" s="5" t="s">
        <v>15</v>
      </c>
      <c r="B123" s="6" t="str">
        <f t="array" ref="B123">XLOOKUP(C123,city_to_region!$B$5:$B$96,city_to_region!$A$5:$A$96)</f>
        <v>Атырауская</v>
      </c>
      <c r="C123" s="6" t="s">
        <v>37</v>
      </c>
      <c r="D123" s="6" t="s">
        <v>694</v>
      </c>
      <c r="E123" s="12">
        <v>45484.0</v>
      </c>
      <c r="F123" s="6" t="s">
        <v>695</v>
      </c>
      <c r="G123" s="6" t="s">
        <v>696</v>
      </c>
      <c r="H123" s="13">
        <v>0.1462</v>
      </c>
      <c r="I123" s="9">
        <v>18.2</v>
      </c>
      <c r="J123" s="9" t="s">
        <v>697</v>
      </c>
      <c r="K123" s="9" t="s">
        <v>698</v>
      </c>
      <c r="L123" s="9" t="s">
        <v>699</v>
      </c>
      <c r="M123" s="9" t="s">
        <v>700</v>
      </c>
      <c r="N123" s="11">
        <v>2024.0</v>
      </c>
    </row>
    <row r="124" ht="15.75" customHeight="1">
      <c r="A124" s="5" t="s">
        <v>15</v>
      </c>
      <c r="B124" s="6" t="str">
        <f t="array" ref="B124">XLOOKUP(C124,city_to_region!$B$5:$B$96,city_to_region!$A$5:$A$96)</f>
        <v>Атырауская</v>
      </c>
      <c r="C124" s="6" t="s">
        <v>37</v>
      </c>
      <c r="D124" s="6" t="s">
        <v>701</v>
      </c>
      <c r="E124" s="12">
        <v>45484.0</v>
      </c>
      <c r="F124" s="6" t="s">
        <v>702</v>
      </c>
      <c r="G124" s="6" t="s">
        <v>703</v>
      </c>
      <c r="H124" s="13">
        <v>0.0914</v>
      </c>
      <c r="I124" s="9">
        <v>11.4</v>
      </c>
      <c r="J124" s="9" t="s">
        <v>704</v>
      </c>
      <c r="K124" s="9" t="s">
        <v>705</v>
      </c>
      <c r="L124" s="9" t="s">
        <v>706</v>
      </c>
      <c r="M124" s="9" t="s">
        <v>707</v>
      </c>
      <c r="N124" s="11">
        <v>2024.0</v>
      </c>
    </row>
    <row r="125" ht="15.75" customHeight="1">
      <c r="A125" s="5" t="s">
        <v>15</v>
      </c>
      <c r="B125" s="6" t="str">
        <f t="array" ref="B125">XLOOKUP(C125,city_to_region!$B$5:$B$96,city_to_region!$A$5:$A$96)</f>
        <v>Атырауская</v>
      </c>
      <c r="C125" s="6" t="s">
        <v>37</v>
      </c>
      <c r="D125" s="6" t="s">
        <v>708</v>
      </c>
      <c r="E125" s="12">
        <v>45484.0</v>
      </c>
      <c r="F125" s="6" t="s">
        <v>709</v>
      </c>
      <c r="G125" s="6" t="s">
        <v>710</v>
      </c>
      <c r="H125" s="13">
        <v>0.2666</v>
      </c>
      <c r="I125" s="9">
        <v>33.3</v>
      </c>
      <c r="J125" s="9" t="s">
        <v>711</v>
      </c>
      <c r="K125" s="9" t="s">
        <v>712</v>
      </c>
      <c r="L125" s="9" t="s">
        <v>713</v>
      </c>
      <c r="M125" s="9" t="s">
        <v>714</v>
      </c>
      <c r="N125" s="11">
        <v>2024.0</v>
      </c>
    </row>
    <row r="126" ht="15.75" customHeight="1">
      <c r="A126" s="5" t="s">
        <v>15</v>
      </c>
      <c r="B126" s="6" t="str">
        <f t="array" ref="B126">XLOOKUP(C126,city_to_region!$B$5:$B$96,city_to_region!$A$5:$A$96)</f>
        <v>Атырауская</v>
      </c>
      <c r="C126" s="6" t="s">
        <v>37</v>
      </c>
      <c r="D126" s="6" t="s">
        <v>715</v>
      </c>
      <c r="E126" s="12">
        <v>45484.0</v>
      </c>
      <c r="F126" s="6" t="s">
        <v>716</v>
      </c>
      <c r="G126" s="6" t="s">
        <v>717</v>
      </c>
      <c r="H126" s="13">
        <v>0.1246</v>
      </c>
      <c r="I126" s="9">
        <v>15.5</v>
      </c>
      <c r="J126" s="9" t="s">
        <v>718</v>
      </c>
      <c r="K126" s="9" t="s">
        <v>719</v>
      </c>
      <c r="L126" s="9" t="s">
        <v>720</v>
      </c>
      <c r="M126" s="9" t="s">
        <v>721</v>
      </c>
      <c r="N126" s="11">
        <v>2024.0</v>
      </c>
    </row>
    <row r="127" ht="15.75" customHeight="1">
      <c r="A127" s="5" t="s">
        <v>15</v>
      </c>
      <c r="B127" s="6" t="str">
        <f t="array" ref="B127">XLOOKUP(C127,city_to_region!$B$5:$B$96,city_to_region!$A$5:$A$96)</f>
        <v>Атырауская</v>
      </c>
      <c r="C127" s="6" t="s">
        <v>37</v>
      </c>
      <c r="D127" s="6" t="s">
        <v>722</v>
      </c>
      <c r="E127" s="12">
        <v>45484.0</v>
      </c>
      <c r="F127" s="6" t="s">
        <v>723</v>
      </c>
      <c r="G127" s="6" t="s">
        <v>724</v>
      </c>
      <c r="H127" s="13">
        <v>0.1053</v>
      </c>
      <c r="I127" s="9">
        <v>13.1</v>
      </c>
      <c r="J127" s="10">
        <v>170.0</v>
      </c>
      <c r="K127" s="9" t="s">
        <v>725</v>
      </c>
      <c r="L127" s="9" t="s">
        <v>726</v>
      </c>
      <c r="M127" s="9" t="s">
        <v>727</v>
      </c>
      <c r="N127" s="11">
        <v>2024.0</v>
      </c>
    </row>
    <row r="128" ht="15.75" customHeight="1">
      <c r="A128" s="5" t="s">
        <v>15</v>
      </c>
      <c r="B128" s="6" t="str">
        <f t="array" ref="B128">XLOOKUP(C128,city_to_region!$B$5:$B$96,city_to_region!$A$5:$A$96)</f>
        <v>Атырауская</v>
      </c>
      <c r="C128" s="6" t="s">
        <v>37</v>
      </c>
      <c r="D128" s="6" t="s">
        <v>728</v>
      </c>
      <c r="E128" s="12">
        <v>45484.0</v>
      </c>
      <c r="F128" s="6" t="s">
        <v>729</v>
      </c>
      <c r="G128" s="6" t="s">
        <v>730</v>
      </c>
      <c r="H128" s="13">
        <v>0.0998</v>
      </c>
      <c r="I128" s="9">
        <v>12.4</v>
      </c>
      <c r="J128" s="10">
        <v>188.0</v>
      </c>
      <c r="K128" s="9" t="s">
        <v>731</v>
      </c>
      <c r="L128" s="9" t="s">
        <v>732</v>
      </c>
      <c r="M128" s="9" t="s">
        <v>733</v>
      </c>
      <c r="N128" s="11">
        <v>2024.0</v>
      </c>
    </row>
    <row r="129" ht="15.75" customHeight="1">
      <c r="A129" s="5" t="s">
        <v>15</v>
      </c>
      <c r="B129" s="6" t="str">
        <f t="array" ref="B129">XLOOKUP(C129,city_to_region!$B$5:$B$96,city_to_region!$A$5:$A$96)</f>
        <v>Атырауская</v>
      </c>
      <c r="C129" s="6" t="s">
        <v>37</v>
      </c>
      <c r="D129" s="6" t="s">
        <v>734</v>
      </c>
      <c r="E129" s="12">
        <v>45484.0</v>
      </c>
      <c r="F129" s="6" t="s">
        <v>735</v>
      </c>
      <c r="G129" s="6" t="s">
        <v>736</v>
      </c>
      <c r="H129" s="13">
        <v>0.141</v>
      </c>
      <c r="I129" s="9">
        <v>17.6</v>
      </c>
      <c r="J129" s="10">
        <v>164.0</v>
      </c>
      <c r="K129" s="9" t="s">
        <v>737</v>
      </c>
      <c r="L129" s="9" t="s">
        <v>738</v>
      </c>
      <c r="M129" s="9" t="s">
        <v>739</v>
      </c>
      <c r="N129" s="11">
        <v>2024.0</v>
      </c>
    </row>
    <row r="130" ht="15.75" customHeight="1">
      <c r="A130" s="5" t="s">
        <v>15</v>
      </c>
      <c r="B130" s="6" t="str">
        <f t="array" ref="B130">XLOOKUP(C130,city_to_region!$B$5:$B$96,city_to_region!$A$5:$A$96)</f>
        <v>Атырауская</v>
      </c>
      <c r="C130" s="6" t="s">
        <v>37</v>
      </c>
      <c r="D130" s="6" t="s">
        <v>740</v>
      </c>
      <c r="E130" s="12">
        <v>45484.0</v>
      </c>
      <c r="F130" s="6" t="s">
        <v>741</v>
      </c>
      <c r="G130" s="6" t="s">
        <v>742</v>
      </c>
      <c r="H130" s="13">
        <v>0.1256</v>
      </c>
      <c r="I130" s="9">
        <v>15.7</v>
      </c>
      <c r="J130" s="10">
        <v>168.0</v>
      </c>
      <c r="K130" s="9" t="s">
        <v>743</v>
      </c>
      <c r="L130" s="9" t="s">
        <v>744</v>
      </c>
      <c r="M130" s="9" t="s">
        <v>745</v>
      </c>
      <c r="N130" s="11">
        <v>2024.0</v>
      </c>
    </row>
    <row r="131" ht="15.75" customHeight="1">
      <c r="A131" s="5" t="s">
        <v>15</v>
      </c>
      <c r="B131" s="6" t="str">
        <f t="array" ref="B131">XLOOKUP(C131,city_to_region!$B$5:$B$96,city_to_region!$A$5:$A$96)</f>
        <v>Атырауская</v>
      </c>
      <c r="C131" s="6" t="s">
        <v>37</v>
      </c>
      <c r="D131" s="6" t="s">
        <v>746</v>
      </c>
      <c r="E131" s="12">
        <v>45484.0</v>
      </c>
      <c r="F131" s="6" t="s">
        <v>747</v>
      </c>
      <c r="G131" s="6" t="s">
        <v>748</v>
      </c>
      <c r="H131" s="13">
        <v>0.1486</v>
      </c>
      <c r="I131" s="9">
        <v>18.5</v>
      </c>
      <c r="J131" s="10">
        <v>223.0</v>
      </c>
      <c r="K131" s="9" t="s">
        <v>749</v>
      </c>
      <c r="L131" s="9" t="s">
        <v>750</v>
      </c>
      <c r="M131" s="9" t="s">
        <v>751</v>
      </c>
      <c r="N131" s="11">
        <v>2024.0</v>
      </c>
    </row>
    <row r="132" ht="15.75" customHeight="1">
      <c r="A132" s="5" t="s">
        <v>15</v>
      </c>
      <c r="B132" s="6" t="str">
        <f t="array" ref="B132">XLOOKUP(C132,city_to_region!$B$5:$B$96,city_to_region!$A$5:$A$96)</f>
        <v>Атырауская</v>
      </c>
      <c r="C132" s="6" t="s">
        <v>37</v>
      </c>
      <c r="D132" s="6" t="s">
        <v>752</v>
      </c>
      <c r="E132" s="12">
        <v>45484.0</v>
      </c>
      <c r="F132" s="6" t="s">
        <v>753</v>
      </c>
      <c r="G132" s="6" t="s">
        <v>748</v>
      </c>
      <c r="H132" s="13">
        <v>0.3096</v>
      </c>
      <c r="I132" s="9">
        <v>38.7</v>
      </c>
      <c r="J132" s="10">
        <v>265.0</v>
      </c>
      <c r="K132" s="9" t="s">
        <v>754</v>
      </c>
      <c r="L132" s="9" t="s">
        <v>755</v>
      </c>
      <c r="M132" s="9" t="s">
        <v>756</v>
      </c>
      <c r="N132" s="11">
        <v>2024.0</v>
      </c>
    </row>
    <row r="133" ht="15.75" customHeight="1">
      <c r="A133" s="5" t="s">
        <v>15</v>
      </c>
      <c r="B133" s="6" t="str">
        <f t="array" ref="B133">XLOOKUP(C133,city_to_region!$B$5:$B$96,city_to_region!$A$5:$A$96)</f>
        <v>Атырауская</v>
      </c>
      <c r="C133" s="6" t="s">
        <v>37</v>
      </c>
      <c r="D133" s="6" t="s">
        <v>757</v>
      </c>
      <c r="E133" s="12">
        <v>45484.0</v>
      </c>
      <c r="F133" s="6" t="s">
        <v>758</v>
      </c>
      <c r="G133" s="6" t="s">
        <v>748</v>
      </c>
      <c r="H133" s="13">
        <v>0.1411</v>
      </c>
      <c r="I133" s="9">
        <v>17.6</v>
      </c>
      <c r="J133" s="10">
        <v>287.0</v>
      </c>
      <c r="K133" s="9" t="s">
        <v>759</v>
      </c>
      <c r="L133" s="9" t="s">
        <v>760</v>
      </c>
      <c r="M133" s="9" t="s">
        <v>761</v>
      </c>
      <c r="N133" s="11">
        <v>2024.0</v>
      </c>
    </row>
    <row r="134" ht="15.75" customHeight="1">
      <c r="A134" s="5" t="s">
        <v>15</v>
      </c>
      <c r="B134" s="6" t="str">
        <f t="array" ref="B134">XLOOKUP(C134,city_to_region!$B$5:$B$96,city_to_region!$A$5:$A$96)</f>
        <v>Атырауская</v>
      </c>
      <c r="C134" s="6" t="s">
        <v>37</v>
      </c>
      <c r="D134" s="6" t="s">
        <v>762</v>
      </c>
      <c r="E134" s="12">
        <v>45484.0</v>
      </c>
      <c r="F134" s="6" t="s">
        <v>763</v>
      </c>
      <c r="G134" s="6" t="s">
        <v>748</v>
      </c>
      <c r="H134" s="13">
        <v>0.0995</v>
      </c>
      <c r="I134" s="9">
        <v>12.4</v>
      </c>
      <c r="J134" s="10">
        <v>276.0</v>
      </c>
      <c r="K134" s="9" t="s">
        <v>764</v>
      </c>
      <c r="L134" s="9" t="s">
        <v>765</v>
      </c>
      <c r="M134" s="9" t="s">
        <v>766</v>
      </c>
      <c r="N134" s="11">
        <v>2024.0</v>
      </c>
    </row>
    <row r="135" ht="15.75" customHeight="1">
      <c r="A135" s="5" t="s">
        <v>15</v>
      </c>
      <c r="B135" s="6" t="str">
        <f t="array" ref="B135">XLOOKUP(C135,city_to_region!$B$5:$B$96,city_to_region!$A$5:$A$96)</f>
        <v>Атырауская</v>
      </c>
      <c r="C135" s="6" t="s">
        <v>37</v>
      </c>
      <c r="D135" s="6" t="s">
        <v>767</v>
      </c>
      <c r="E135" s="12">
        <v>45484.0</v>
      </c>
      <c r="F135" s="6" t="s">
        <v>768</v>
      </c>
      <c r="G135" s="8" t="s">
        <v>245</v>
      </c>
      <c r="H135" s="13">
        <v>0.3284</v>
      </c>
      <c r="I135" s="9">
        <v>41.0</v>
      </c>
      <c r="J135" s="10">
        <v>293.0</v>
      </c>
      <c r="K135" s="9" t="s">
        <v>769</v>
      </c>
      <c r="L135" s="9" t="s">
        <v>770</v>
      </c>
      <c r="M135" s="9" t="s">
        <v>771</v>
      </c>
      <c r="N135" s="11">
        <v>2024.0</v>
      </c>
    </row>
    <row r="136" ht="15.75" customHeight="1">
      <c r="A136" s="5" t="s">
        <v>15</v>
      </c>
      <c r="B136" s="6" t="str">
        <f t="array" ref="B136">XLOOKUP(C136,city_to_region!$B$5:$B$96,city_to_region!$A$5:$A$96)</f>
        <v>Атырауская</v>
      </c>
      <c r="C136" s="6" t="s">
        <v>37</v>
      </c>
      <c r="D136" s="6" t="s">
        <v>772</v>
      </c>
      <c r="E136" s="12">
        <v>45484.0</v>
      </c>
      <c r="F136" s="6" t="s">
        <v>773</v>
      </c>
      <c r="G136" s="8" t="s">
        <v>245</v>
      </c>
      <c r="H136" s="13">
        <v>0.2699</v>
      </c>
      <c r="I136" s="9">
        <v>33.7</v>
      </c>
      <c r="J136" s="10">
        <v>291.0</v>
      </c>
      <c r="K136" s="9" t="s">
        <v>774</v>
      </c>
      <c r="L136" s="9" t="s">
        <v>775</v>
      </c>
      <c r="M136" s="9" t="s">
        <v>776</v>
      </c>
      <c r="N136" s="11">
        <v>2024.0</v>
      </c>
    </row>
    <row r="137" ht="15.75" customHeight="1">
      <c r="A137" s="5" t="s">
        <v>15</v>
      </c>
      <c r="B137" s="6" t="str">
        <f t="array" ref="B137">XLOOKUP(C137,city_to_region!$B$5:$B$96,city_to_region!$A$5:$A$96)</f>
        <v>Атырауская</v>
      </c>
      <c r="C137" s="6" t="s">
        <v>37</v>
      </c>
      <c r="D137" s="6" t="s">
        <v>777</v>
      </c>
      <c r="E137" s="12">
        <v>45484.0</v>
      </c>
      <c r="F137" s="6" t="s">
        <v>778</v>
      </c>
      <c r="G137" s="8" t="s">
        <v>245</v>
      </c>
      <c r="H137" s="13">
        <v>0.2297</v>
      </c>
      <c r="I137" s="9">
        <v>28.7</v>
      </c>
      <c r="J137" s="10">
        <v>297.0</v>
      </c>
      <c r="K137" s="9" t="s">
        <v>779</v>
      </c>
      <c r="L137" s="9" t="s">
        <v>780</v>
      </c>
      <c r="M137" s="9" t="s">
        <v>781</v>
      </c>
      <c r="N137" s="11">
        <v>2024.0</v>
      </c>
    </row>
    <row r="138" ht="15.75" customHeight="1">
      <c r="A138" s="5" t="s">
        <v>15</v>
      </c>
      <c r="B138" s="6" t="str">
        <f t="array" ref="B138">XLOOKUP(C138,city_to_region!$B$5:$B$96,city_to_region!$A$5:$A$96)</f>
        <v>Атырауская</v>
      </c>
      <c r="C138" s="6" t="s">
        <v>37</v>
      </c>
      <c r="D138" s="6" t="s">
        <v>782</v>
      </c>
      <c r="E138" s="12">
        <v>45484.0</v>
      </c>
      <c r="F138" s="6" t="s">
        <v>783</v>
      </c>
      <c r="G138" s="8" t="s">
        <v>245</v>
      </c>
      <c r="H138" s="13">
        <v>0.1522</v>
      </c>
      <c r="I138" s="9">
        <v>19.0</v>
      </c>
      <c r="J138" s="10">
        <v>296.0</v>
      </c>
      <c r="K138" s="9" t="s">
        <v>784</v>
      </c>
      <c r="L138" s="9" t="s">
        <v>785</v>
      </c>
      <c r="M138" s="9" t="s">
        <v>786</v>
      </c>
      <c r="N138" s="11">
        <v>2024.0</v>
      </c>
    </row>
    <row r="139" ht="15.75" customHeight="1">
      <c r="A139" s="5" t="s">
        <v>15</v>
      </c>
      <c r="B139" s="6" t="str">
        <f t="array" ref="B139">XLOOKUP(C139,city_to_region!$B$5:$B$96,city_to_region!$A$5:$A$96)</f>
        <v>Атырауская</v>
      </c>
      <c r="C139" s="6" t="s">
        <v>37</v>
      </c>
      <c r="D139" s="6" t="s">
        <v>787</v>
      </c>
      <c r="E139" s="12">
        <v>45484.0</v>
      </c>
      <c r="F139" s="6" t="s">
        <v>788</v>
      </c>
      <c r="G139" s="8" t="s">
        <v>245</v>
      </c>
      <c r="H139" s="13">
        <v>0.1025</v>
      </c>
      <c r="I139" s="9">
        <v>12.8</v>
      </c>
      <c r="J139" s="10">
        <v>287.0</v>
      </c>
      <c r="K139" s="9" t="s">
        <v>789</v>
      </c>
      <c r="L139" s="9" t="s">
        <v>790</v>
      </c>
      <c r="M139" s="9" t="s">
        <v>791</v>
      </c>
      <c r="N139" s="11">
        <v>2024.0</v>
      </c>
    </row>
    <row r="140" ht="15.75" customHeight="1">
      <c r="A140" s="5" t="s">
        <v>15</v>
      </c>
      <c r="B140" s="6" t="str">
        <f t="array" ref="B140">XLOOKUP(C140,city_to_region!$B$5:$B$96,city_to_region!$A$5:$A$96)</f>
        <v>Атырауская</v>
      </c>
      <c r="C140" s="6" t="s">
        <v>37</v>
      </c>
      <c r="D140" s="6" t="s">
        <v>792</v>
      </c>
      <c r="E140" s="12">
        <v>45484.0</v>
      </c>
      <c r="F140" s="6" t="s">
        <v>793</v>
      </c>
      <c r="G140" s="8" t="s">
        <v>245</v>
      </c>
      <c r="H140" s="13">
        <v>0.3308</v>
      </c>
      <c r="I140" s="9">
        <v>41.3</v>
      </c>
      <c r="J140" s="10">
        <v>280.0</v>
      </c>
      <c r="K140" s="9" t="s">
        <v>794</v>
      </c>
      <c r="L140" s="9" t="s">
        <v>795</v>
      </c>
      <c r="M140" s="9" t="s">
        <v>796</v>
      </c>
      <c r="N140" s="11">
        <v>2024.0</v>
      </c>
    </row>
    <row r="141" ht="15.75" customHeight="1">
      <c r="A141" s="5" t="s">
        <v>15</v>
      </c>
      <c r="B141" s="6" t="str">
        <f t="array" ref="B141">XLOOKUP(C141,city_to_region!$B$5:$B$96,city_to_region!$A$5:$A$96)</f>
        <v>Атырауская</v>
      </c>
      <c r="C141" s="6" t="s">
        <v>37</v>
      </c>
      <c r="D141" s="6" t="s">
        <v>797</v>
      </c>
      <c r="E141" s="12">
        <v>45484.0</v>
      </c>
      <c r="F141" s="6" t="s">
        <v>798</v>
      </c>
      <c r="G141" s="8" t="s">
        <v>245</v>
      </c>
      <c r="H141" s="13">
        <v>0.1402</v>
      </c>
      <c r="I141" s="9">
        <v>17.5</v>
      </c>
      <c r="J141" s="10">
        <v>283.0</v>
      </c>
      <c r="K141" s="9" t="s">
        <v>799</v>
      </c>
      <c r="L141" s="9" t="s">
        <v>800</v>
      </c>
      <c r="M141" s="9" t="s">
        <v>801</v>
      </c>
      <c r="N141" s="11">
        <v>2024.0</v>
      </c>
    </row>
    <row r="142" ht="15.75" customHeight="1">
      <c r="A142" s="5" t="s">
        <v>15</v>
      </c>
      <c r="B142" s="6" t="str">
        <f t="array" ref="B142">XLOOKUP(C142,city_to_region!$B$5:$B$96,city_to_region!$A$5:$A$96)</f>
        <v>Атырауская</v>
      </c>
      <c r="C142" s="6" t="s">
        <v>37</v>
      </c>
      <c r="D142" s="6" t="s">
        <v>802</v>
      </c>
      <c r="E142" s="12">
        <v>45484.0</v>
      </c>
      <c r="F142" s="6" t="s">
        <v>803</v>
      </c>
      <c r="G142" s="8" t="s">
        <v>245</v>
      </c>
      <c r="H142" s="9" t="s">
        <v>804</v>
      </c>
      <c r="I142" s="9">
        <v>20.2</v>
      </c>
      <c r="J142" s="10">
        <v>284.0</v>
      </c>
      <c r="K142" s="9" t="s">
        <v>805</v>
      </c>
      <c r="L142" s="9" t="s">
        <v>806</v>
      </c>
      <c r="M142" s="9" t="s">
        <v>807</v>
      </c>
      <c r="N142" s="11">
        <v>2024.0</v>
      </c>
    </row>
    <row r="143" ht="15.75" customHeight="1">
      <c r="A143" s="5" t="s">
        <v>15</v>
      </c>
      <c r="B143" s="6" t="str">
        <f t="array" ref="B143">XLOOKUP(C143,city_to_region!$B$5:$B$96,city_to_region!$A$5:$A$96)</f>
        <v>Атырауская</v>
      </c>
      <c r="C143" s="6" t="s">
        <v>37</v>
      </c>
      <c r="D143" s="6" t="s">
        <v>808</v>
      </c>
      <c r="E143" s="12">
        <v>45484.0</v>
      </c>
      <c r="F143" s="6" t="s">
        <v>809</v>
      </c>
      <c r="G143" s="8" t="s">
        <v>245</v>
      </c>
      <c r="H143" s="13">
        <v>0.258</v>
      </c>
      <c r="I143" s="9">
        <v>32.2</v>
      </c>
      <c r="J143" s="10">
        <v>283.0</v>
      </c>
      <c r="K143" s="9" t="s">
        <v>810</v>
      </c>
      <c r="L143" s="9" t="s">
        <v>811</v>
      </c>
      <c r="M143" s="9" t="s">
        <v>812</v>
      </c>
      <c r="N143" s="11">
        <v>2024.0</v>
      </c>
    </row>
    <row r="144" ht="15.75" customHeight="1">
      <c r="A144" s="5" t="s">
        <v>15</v>
      </c>
      <c r="B144" s="6" t="str">
        <f t="array" ref="B144">XLOOKUP(C144,city_to_region!$B$5:$B$96,city_to_region!$A$5:$A$96)</f>
        <v>Атырауская</v>
      </c>
      <c r="C144" s="6" t="s">
        <v>37</v>
      </c>
      <c r="D144" s="6" t="s">
        <v>813</v>
      </c>
      <c r="E144" s="12">
        <v>45484.0</v>
      </c>
      <c r="F144" s="6" t="s">
        <v>814</v>
      </c>
      <c r="G144" s="8" t="s">
        <v>245</v>
      </c>
      <c r="H144" s="13">
        <v>0.2677</v>
      </c>
      <c r="I144" s="9">
        <v>33.4</v>
      </c>
      <c r="J144" s="10">
        <v>301.0</v>
      </c>
      <c r="K144" s="9" t="s">
        <v>815</v>
      </c>
      <c r="L144" s="9" t="s">
        <v>816</v>
      </c>
      <c r="M144" s="9" t="s">
        <v>817</v>
      </c>
      <c r="N144" s="11">
        <v>2024.0</v>
      </c>
    </row>
    <row r="145" ht="15.75" customHeight="1">
      <c r="A145" s="5" t="s">
        <v>15</v>
      </c>
      <c r="B145" s="6" t="str">
        <f t="array" ref="B145">XLOOKUP(C145,city_to_region!$B$5:$B$96,city_to_region!$A$5:$A$96)</f>
        <v>Атырауская</v>
      </c>
      <c r="C145" s="6" t="s">
        <v>37</v>
      </c>
      <c r="D145" s="6" t="s">
        <v>818</v>
      </c>
      <c r="E145" s="12">
        <v>45485.0</v>
      </c>
      <c r="F145" s="6" t="s">
        <v>819</v>
      </c>
      <c r="G145" s="6" t="s">
        <v>820</v>
      </c>
      <c r="H145" s="13">
        <v>0.2783</v>
      </c>
      <c r="I145" s="9">
        <v>34.7</v>
      </c>
      <c r="J145" s="10">
        <v>147.0</v>
      </c>
      <c r="K145" s="15">
        <v>0.35</v>
      </c>
      <c r="L145" s="9" t="s">
        <v>821</v>
      </c>
      <c r="M145" s="9" t="s">
        <v>822</v>
      </c>
      <c r="N145" s="11">
        <v>2024.0</v>
      </c>
    </row>
    <row r="146" ht="15.75" customHeight="1">
      <c r="A146" s="5" t="s">
        <v>15</v>
      </c>
      <c r="B146" s="6" t="str">
        <f t="array" ref="B146">XLOOKUP(C146,city_to_region!$B$5:$B$96,city_to_region!$A$5:$A$96)</f>
        <v>Атырауская</v>
      </c>
      <c r="C146" s="6" t="s">
        <v>37</v>
      </c>
      <c r="D146" s="6" t="s">
        <v>823</v>
      </c>
      <c r="E146" s="12">
        <v>45485.0</v>
      </c>
      <c r="F146" s="6" t="s">
        <v>824</v>
      </c>
      <c r="G146" s="6" t="s">
        <v>825</v>
      </c>
      <c r="H146" s="13">
        <v>0.2535</v>
      </c>
      <c r="I146" s="9">
        <v>31.6</v>
      </c>
      <c r="J146" s="10">
        <v>162.0</v>
      </c>
      <c r="K146" s="15">
        <v>0.34</v>
      </c>
      <c r="L146" s="9" t="s">
        <v>826</v>
      </c>
      <c r="M146" s="9" t="s">
        <v>827</v>
      </c>
      <c r="N146" s="11">
        <v>2024.0</v>
      </c>
    </row>
    <row r="147" ht="15.75" customHeight="1">
      <c r="A147" s="5" t="s">
        <v>15</v>
      </c>
      <c r="B147" s="6" t="str">
        <f t="array" ref="B147">XLOOKUP(C147,city_to_region!$B$5:$B$96,city_to_region!$A$5:$A$96)</f>
        <v>Атырауская</v>
      </c>
      <c r="C147" s="6" t="s">
        <v>37</v>
      </c>
      <c r="D147" s="6" t="s">
        <v>828</v>
      </c>
      <c r="E147" s="12">
        <v>45485.0</v>
      </c>
      <c r="F147" s="6" t="s">
        <v>829</v>
      </c>
      <c r="G147" s="6" t="s">
        <v>830</v>
      </c>
      <c r="H147" s="13">
        <v>0.1749</v>
      </c>
      <c r="I147" s="9">
        <v>21.8</v>
      </c>
      <c r="J147" s="10">
        <v>160.0</v>
      </c>
      <c r="K147" s="15">
        <v>0.58</v>
      </c>
      <c r="L147" s="9" t="s">
        <v>831</v>
      </c>
      <c r="M147" s="9" t="s">
        <v>832</v>
      </c>
      <c r="N147" s="11">
        <v>2024.0</v>
      </c>
    </row>
    <row r="148" ht="15.75" customHeight="1">
      <c r="A148" s="5" t="s">
        <v>15</v>
      </c>
      <c r="B148" s="6" t="str">
        <f t="array" ref="B148">XLOOKUP(C148,city_to_region!$B$5:$B$96,city_to_region!$A$5:$A$96)</f>
        <v>Атырауская</v>
      </c>
      <c r="C148" s="6" t="s">
        <v>37</v>
      </c>
      <c r="D148" s="6" t="s">
        <v>833</v>
      </c>
      <c r="E148" s="12">
        <v>45485.0</v>
      </c>
      <c r="F148" s="6" t="s">
        <v>834</v>
      </c>
      <c r="G148" s="6" t="s">
        <v>835</v>
      </c>
      <c r="H148" s="13">
        <v>0.1098</v>
      </c>
      <c r="I148" s="9">
        <v>13.7</v>
      </c>
      <c r="J148" s="10">
        <v>280.0</v>
      </c>
      <c r="K148" s="9" t="s">
        <v>836</v>
      </c>
      <c r="L148" s="9" t="s">
        <v>837</v>
      </c>
      <c r="M148" s="9" t="s">
        <v>838</v>
      </c>
      <c r="N148" s="11">
        <v>2024.0</v>
      </c>
    </row>
    <row r="149" ht="18.0" customHeight="1">
      <c r="A149" s="5" t="s">
        <v>15</v>
      </c>
      <c r="B149" s="6" t="str">
        <f t="array" ref="B149">XLOOKUP(C149,city_to_region!$B$5:$B$96,city_to_region!$A$5:$A$96)</f>
        <v>Атырауская</v>
      </c>
      <c r="C149" s="6" t="s">
        <v>37</v>
      </c>
      <c r="D149" s="6" t="s">
        <v>839</v>
      </c>
      <c r="E149" s="12">
        <v>45485.0</v>
      </c>
      <c r="F149" s="6" t="s">
        <v>840</v>
      </c>
      <c r="G149" s="6" t="s">
        <v>841</v>
      </c>
      <c r="H149" s="13">
        <v>0.1061</v>
      </c>
      <c r="I149" s="9">
        <v>13.2</v>
      </c>
      <c r="J149" s="9" t="s">
        <v>842</v>
      </c>
      <c r="K149" s="9" t="s">
        <v>843</v>
      </c>
      <c r="L149" s="9" t="s">
        <v>844</v>
      </c>
      <c r="M149" s="9" t="s">
        <v>845</v>
      </c>
      <c r="N149" s="11">
        <v>2024.0</v>
      </c>
    </row>
    <row r="150" ht="15.75" customHeight="1">
      <c r="A150" s="5" t="s">
        <v>15</v>
      </c>
      <c r="B150" s="6" t="str">
        <f t="array" ref="B150">XLOOKUP(C150,city_to_region!$B$5:$B$96,city_to_region!$A$5:$A$96)</f>
        <v>Атырауская</v>
      </c>
      <c r="C150" s="6" t="s">
        <v>37</v>
      </c>
      <c r="D150" s="6" t="s">
        <v>846</v>
      </c>
      <c r="E150" s="12">
        <v>45486.0</v>
      </c>
      <c r="F150" s="6" t="s">
        <v>847</v>
      </c>
      <c r="G150" s="6" t="s">
        <v>848</v>
      </c>
      <c r="H150" s="13">
        <v>0.0847</v>
      </c>
      <c r="I150" s="9">
        <v>10.5</v>
      </c>
      <c r="J150" s="9" t="s">
        <v>849</v>
      </c>
      <c r="K150" s="9" t="s">
        <v>850</v>
      </c>
      <c r="L150" s="9" t="s">
        <v>851</v>
      </c>
      <c r="M150" s="9" t="s">
        <v>852</v>
      </c>
      <c r="N150" s="11">
        <v>2024.0</v>
      </c>
    </row>
    <row r="151" ht="15.75" customHeight="1">
      <c r="A151" s="5" t="s">
        <v>15</v>
      </c>
      <c r="B151" s="6" t="str">
        <f t="array" ref="B151">XLOOKUP(C151,city_to_region!$B$5:$B$96,city_to_region!$A$5:$A$96)</f>
        <v>Атырауская</v>
      </c>
      <c r="C151" s="6" t="s">
        <v>37</v>
      </c>
      <c r="D151" s="6" t="s">
        <v>853</v>
      </c>
      <c r="E151" s="12">
        <v>45504.0</v>
      </c>
      <c r="F151" s="6" t="s">
        <v>854</v>
      </c>
      <c r="G151" s="6" t="s">
        <v>855</v>
      </c>
      <c r="H151" s="13">
        <v>0.2144</v>
      </c>
      <c r="I151" s="9">
        <v>26.8</v>
      </c>
      <c r="J151" s="10">
        <v>101.0</v>
      </c>
      <c r="K151" s="9" t="s">
        <v>856</v>
      </c>
      <c r="L151" s="9" t="s">
        <v>857</v>
      </c>
      <c r="M151" s="14">
        <v>754.5</v>
      </c>
      <c r="N151" s="11">
        <v>2024.0</v>
      </c>
    </row>
    <row r="152" ht="15.75" customHeight="1">
      <c r="A152" s="5" t="s">
        <v>15</v>
      </c>
      <c r="B152" s="6" t="str">
        <f t="array" ref="B152">XLOOKUP(C152,city_to_region!$B$5:$B$96,city_to_region!$A$5:$A$96)</f>
        <v>Атырауская</v>
      </c>
      <c r="C152" s="6" t="s">
        <v>37</v>
      </c>
      <c r="D152" s="6" t="s">
        <v>858</v>
      </c>
      <c r="E152" s="12">
        <v>45504.0</v>
      </c>
      <c r="F152" s="6" t="s">
        <v>859</v>
      </c>
      <c r="G152" s="6" t="s">
        <v>860</v>
      </c>
      <c r="H152" s="13">
        <v>0.2077</v>
      </c>
      <c r="I152" s="9">
        <v>25.9</v>
      </c>
      <c r="J152" s="10">
        <v>101.0</v>
      </c>
      <c r="K152" s="9" t="s">
        <v>861</v>
      </c>
      <c r="L152" s="9" t="s">
        <v>862</v>
      </c>
      <c r="M152" s="14">
        <v>754.4</v>
      </c>
      <c r="N152" s="11">
        <v>2024.0</v>
      </c>
    </row>
    <row r="153" ht="15.75" customHeight="1">
      <c r="A153" s="5" t="s">
        <v>15</v>
      </c>
      <c r="B153" s="6" t="str">
        <f t="array" ref="B153">XLOOKUP(C153,city_to_region!$B$5:$B$96,city_to_region!$A$5:$A$96)</f>
        <v>Атырауская</v>
      </c>
      <c r="C153" s="6" t="s">
        <v>37</v>
      </c>
      <c r="D153" s="6" t="s">
        <v>863</v>
      </c>
      <c r="E153" s="12">
        <v>45504.0</v>
      </c>
      <c r="F153" s="6" t="s">
        <v>864</v>
      </c>
      <c r="G153" s="6" t="s">
        <v>865</v>
      </c>
      <c r="H153" s="13">
        <v>0.2427</v>
      </c>
      <c r="I153" s="9">
        <v>30.3</v>
      </c>
      <c r="J153" s="10">
        <v>95.0</v>
      </c>
      <c r="K153" s="9" t="s">
        <v>866</v>
      </c>
      <c r="L153" s="9" t="s">
        <v>867</v>
      </c>
      <c r="M153" s="14">
        <v>754.4</v>
      </c>
      <c r="N153" s="11">
        <v>2024.0</v>
      </c>
    </row>
    <row r="154" ht="15.75" customHeight="1">
      <c r="A154" s="5" t="s">
        <v>15</v>
      </c>
      <c r="B154" s="6" t="str">
        <f t="array" ref="B154">XLOOKUP(C154,city_to_region!$B$5:$B$96,city_to_region!$A$5:$A$96)</f>
        <v>Атырауская</v>
      </c>
      <c r="C154" s="6" t="s">
        <v>37</v>
      </c>
      <c r="D154" s="6" t="s">
        <v>868</v>
      </c>
      <c r="E154" s="12">
        <v>45504.0</v>
      </c>
      <c r="F154" s="6" t="s">
        <v>869</v>
      </c>
      <c r="G154" s="6" t="s">
        <v>870</v>
      </c>
      <c r="H154" s="13">
        <v>0.2343</v>
      </c>
      <c r="I154" s="9">
        <v>29.2</v>
      </c>
      <c r="J154" s="10">
        <v>99.0</v>
      </c>
      <c r="K154" s="9" t="s">
        <v>871</v>
      </c>
      <c r="L154" s="9" t="s">
        <v>872</v>
      </c>
      <c r="M154" s="14">
        <v>754.5</v>
      </c>
      <c r="N154" s="11">
        <v>2024.0</v>
      </c>
    </row>
    <row r="155" ht="15.75" customHeight="1">
      <c r="A155" s="5" t="s">
        <v>15</v>
      </c>
      <c r="B155" s="6" t="str">
        <f t="array" ref="B155">XLOOKUP(C155,city_to_region!$B$5:$B$96,city_to_region!$A$5:$A$96)</f>
        <v>Атырауская</v>
      </c>
      <c r="C155" s="6" t="s">
        <v>37</v>
      </c>
      <c r="D155" s="6" t="s">
        <v>873</v>
      </c>
      <c r="E155" s="12">
        <v>45504.0</v>
      </c>
      <c r="F155" s="6" t="s">
        <v>874</v>
      </c>
      <c r="G155" s="6" t="s">
        <v>875</v>
      </c>
      <c r="H155" s="13">
        <v>0.1839</v>
      </c>
      <c r="I155" s="9">
        <v>23.0</v>
      </c>
      <c r="J155" s="10">
        <v>96.0</v>
      </c>
      <c r="K155" s="9" t="s">
        <v>876</v>
      </c>
      <c r="L155" s="9" t="s">
        <v>877</v>
      </c>
      <c r="M155" s="14">
        <v>754.6</v>
      </c>
      <c r="N155" s="11">
        <v>2024.0</v>
      </c>
    </row>
    <row r="156" ht="15.75" customHeight="1">
      <c r="A156" s="5" t="s">
        <v>15</v>
      </c>
      <c r="B156" s="6" t="str">
        <f t="array" ref="B156">XLOOKUP(C156,city_to_region!$B$5:$B$96,city_to_region!$A$5:$A$96)</f>
        <v>Атырауская</v>
      </c>
      <c r="C156" s="6" t="s">
        <v>37</v>
      </c>
      <c r="D156" s="6" t="s">
        <v>878</v>
      </c>
      <c r="E156" s="12">
        <v>45504.0</v>
      </c>
      <c r="F156" s="6" t="s">
        <v>879</v>
      </c>
      <c r="G156" s="6" t="s">
        <v>880</v>
      </c>
      <c r="H156" s="13">
        <v>0.1297</v>
      </c>
      <c r="I156" s="9">
        <v>16.2</v>
      </c>
      <c r="J156" s="10">
        <v>91.0</v>
      </c>
      <c r="K156" s="9" t="s">
        <v>881</v>
      </c>
      <c r="L156" s="9" t="s">
        <v>882</v>
      </c>
      <c r="M156" s="14">
        <v>754.5</v>
      </c>
      <c r="N156" s="11">
        <v>2024.0</v>
      </c>
    </row>
    <row r="157" ht="15.75" customHeight="1">
      <c r="A157" s="5" t="s">
        <v>15</v>
      </c>
      <c r="B157" s="6" t="str">
        <f t="array" ref="B157">XLOOKUP(C157,city_to_region!$B$5:$B$96,city_to_region!$A$5:$A$96)</f>
        <v>Атырауская</v>
      </c>
      <c r="C157" s="6" t="s">
        <v>37</v>
      </c>
      <c r="D157" s="6" t="s">
        <v>883</v>
      </c>
      <c r="E157" s="12">
        <v>45504.0</v>
      </c>
      <c r="F157" s="6" t="s">
        <v>884</v>
      </c>
      <c r="G157" s="6" t="s">
        <v>885</v>
      </c>
      <c r="H157" s="13">
        <v>0.111</v>
      </c>
      <c r="I157" s="9">
        <v>13.8</v>
      </c>
      <c r="J157" s="10">
        <v>109.0</v>
      </c>
      <c r="K157" s="9" t="s">
        <v>886</v>
      </c>
      <c r="L157" s="9" t="s">
        <v>887</v>
      </c>
      <c r="M157" s="14">
        <v>754.5</v>
      </c>
      <c r="N157" s="11">
        <v>2024.0</v>
      </c>
    </row>
    <row r="158" ht="15.75" customHeight="1">
      <c r="A158" s="5" t="s">
        <v>15</v>
      </c>
      <c r="B158" s="6" t="str">
        <f t="array" ref="B158">XLOOKUP(C158,city_to_region!$B$5:$B$96,city_to_region!$A$5:$A$96)</f>
        <v>Атырауская</v>
      </c>
      <c r="C158" s="6" t="s">
        <v>37</v>
      </c>
      <c r="D158" s="6" t="s">
        <v>888</v>
      </c>
      <c r="E158" s="12">
        <v>45504.0</v>
      </c>
      <c r="F158" s="6" t="s">
        <v>889</v>
      </c>
      <c r="G158" s="6" t="s">
        <v>890</v>
      </c>
      <c r="H158" s="13">
        <v>0.0852</v>
      </c>
      <c r="I158" s="9">
        <v>10.6</v>
      </c>
      <c r="J158" s="10">
        <v>112.0</v>
      </c>
      <c r="K158" s="9" t="s">
        <v>891</v>
      </c>
      <c r="L158" s="9" t="s">
        <v>892</v>
      </c>
      <c r="M158" s="14">
        <v>754.4</v>
      </c>
      <c r="N158" s="11">
        <v>2024.0</v>
      </c>
    </row>
    <row r="159" ht="15.75" customHeight="1">
      <c r="A159" s="5" t="s">
        <v>15</v>
      </c>
      <c r="B159" s="6" t="str">
        <f t="array" ref="B159">XLOOKUP(C159,city_to_region!$B$5:$B$96,city_to_region!$A$5:$A$96)</f>
        <v>Атырауская</v>
      </c>
      <c r="C159" s="6" t="s">
        <v>37</v>
      </c>
      <c r="D159" s="6" t="s">
        <v>893</v>
      </c>
      <c r="E159" s="12">
        <v>45504.0</v>
      </c>
      <c r="F159" s="6" t="s">
        <v>894</v>
      </c>
      <c r="G159" s="6" t="s">
        <v>895</v>
      </c>
      <c r="H159" s="13">
        <v>0.0866</v>
      </c>
      <c r="I159" s="9">
        <v>10.8</v>
      </c>
      <c r="J159" s="10">
        <v>118.0</v>
      </c>
      <c r="K159" s="9" t="s">
        <v>896</v>
      </c>
      <c r="L159" s="9" t="s">
        <v>897</v>
      </c>
      <c r="M159" s="9" t="s">
        <v>898</v>
      </c>
      <c r="N159" s="11">
        <v>2024.0</v>
      </c>
    </row>
    <row r="160" ht="15.75" customHeight="1">
      <c r="A160" s="5" t="s">
        <v>15</v>
      </c>
      <c r="B160" s="6" t="str">
        <f t="array" ref="B160">XLOOKUP(C160,city_to_region!$B$5:$B$96,city_to_region!$A$5:$A$96)</f>
        <v>Атырауская</v>
      </c>
      <c r="C160" s="6" t="s">
        <v>37</v>
      </c>
      <c r="D160" s="6" t="s">
        <v>899</v>
      </c>
      <c r="E160" s="12">
        <v>45504.0</v>
      </c>
      <c r="F160" s="6" t="s">
        <v>900</v>
      </c>
      <c r="G160" s="6" t="s">
        <v>901</v>
      </c>
      <c r="H160" s="13">
        <v>0.0827</v>
      </c>
      <c r="I160" s="9">
        <v>10.3</v>
      </c>
      <c r="J160" s="10">
        <v>121.0</v>
      </c>
      <c r="K160" s="9" t="s">
        <v>902</v>
      </c>
      <c r="L160" s="9" t="s">
        <v>903</v>
      </c>
      <c r="M160" s="9" t="s">
        <v>904</v>
      </c>
      <c r="N160" s="11">
        <v>2024.0</v>
      </c>
    </row>
    <row r="161" ht="15.75" customHeight="1">
      <c r="A161" s="5" t="s">
        <v>15</v>
      </c>
      <c r="B161" s="6" t="str">
        <f t="array" ref="B161">XLOOKUP(C161,city_to_region!$B$5:$B$96,city_to_region!$A$5:$A$96)</f>
        <v>Атырауская</v>
      </c>
      <c r="C161" s="6" t="s">
        <v>37</v>
      </c>
      <c r="D161" s="6" t="s">
        <v>905</v>
      </c>
      <c r="E161" s="12">
        <v>45504.0</v>
      </c>
      <c r="F161" s="6" t="s">
        <v>906</v>
      </c>
      <c r="G161" s="6" t="s">
        <v>907</v>
      </c>
      <c r="H161" s="13">
        <v>0.08</v>
      </c>
      <c r="I161" s="9">
        <v>10.0</v>
      </c>
      <c r="J161" s="10">
        <v>95.0</v>
      </c>
      <c r="K161" s="9" t="s">
        <v>908</v>
      </c>
      <c r="L161" s="9" t="s">
        <v>909</v>
      </c>
      <c r="M161" s="9" t="s">
        <v>910</v>
      </c>
      <c r="N161" s="11">
        <v>2024.0</v>
      </c>
    </row>
    <row r="162" ht="15.75" customHeight="1">
      <c r="A162" s="5" t="s">
        <v>15</v>
      </c>
      <c r="B162" s="6" t="str">
        <f t="array" ref="B162">XLOOKUP(C162,city_to_region!$B$5:$B$96,city_to_region!$A$5:$A$96)</f>
        <v>Атырауская</v>
      </c>
      <c r="C162" s="6" t="s">
        <v>37</v>
      </c>
      <c r="D162" s="6" t="s">
        <v>911</v>
      </c>
      <c r="E162" s="12">
        <v>45509.0</v>
      </c>
      <c r="F162" s="6" t="s">
        <v>912</v>
      </c>
      <c r="G162" s="6" t="s">
        <v>913</v>
      </c>
      <c r="H162" s="13">
        <v>0.1111</v>
      </c>
      <c r="I162" s="9">
        <v>13.8</v>
      </c>
      <c r="J162" s="10">
        <v>98.0</v>
      </c>
      <c r="K162" s="9" t="s">
        <v>914</v>
      </c>
      <c r="L162" s="9" t="s">
        <v>915</v>
      </c>
      <c r="M162" s="14">
        <v>755.7</v>
      </c>
      <c r="N162" s="11">
        <v>2024.0</v>
      </c>
    </row>
    <row r="163" ht="15.75" customHeight="1">
      <c r="A163" s="5" t="s">
        <v>15</v>
      </c>
      <c r="B163" s="6" t="str">
        <f t="array" ref="B163">XLOOKUP(C163,city_to_region!$B$5:$B$96,city_to_region!$A$5:$A$96)</f>
        <v>Атырауская</v>
      </c>
      <c r="C163" s="6" t="s">
        <v>37</v>
      </c>
      <c r="D163" s="6" t="s">
        <v>916</v>
      </c>
      <c r="E163" s="12">
        <v>45510.0</v>
      </c>
      <c r="F163" s="6" t="s">
        <v>917</v>
      </c>
      <c r="G163" s="6" t="s">
        <v>918</v>
      </c>
      <c r="H163" s="13">
        <v>0.0907</v>
      </c>
      <c r="I163" s="9">
        <v>11.3</v>
      </c>
      <c r="J163" s="10">
        <v>145.0</v>
      </c>
      <c r="K163" s="9" t="s">
        <v>919</v>
      </c>
      <c r="L163" s="9" t="s">
        <v>920</v>
      </c>
      <c r="M163" s="14">
        <v>753.4</v>
      </c>
      <c r="N163" s="11">
        <v>2024.0</v>
      </c>
    </row>
    <row r="164" ht="15.75" customHeight="1">
      <c r="A164" s="5" t="s">
        <v>15</v>
      </c>
      <c r="B164" s="6" t="str">
        <f t="array" ref="B164">XLOOKUP(C164,city_to_region!$B$5:$B$96,city_to_region!$A$5:$A$96)</f>
        <v>Атырауская</v>
      </c>
      <c r="C164" s="6" t="s">
        <v>37</v>
      </c>
      <c r="D164" s="6" t="s">
        <v>921</v>
      </c>
      <c r="E164" s="12">
        <v>45510.0</v>
      </c>
      <c r="F164" s="6" t="s">
        <v>922</v>
      </c>
      <c r="G164" s="6" t="s">
        <v>923</v>
      </c>
      <c r="H164" s="13">
        <v>0.1012</v>
      </c>
      <c r="I164" s="9">
        <v>12.7</v>
      </c>
      <c r="J164" s="10">
        <v>163.0</v>
      </c>
      <c r="K164" s="9" t="s">
        <v>924</v>
      </c>
      <c r="L164" s="9" t="s">
        <v>925</v>
      </c>
      <c r="M164" s="14">
        <v>753.4</v>
      </c>
      <c r="N164" s="11">
        <v>2024.0</v>
      </c>
    </row>
    <row r="165" ht="15.75" customHeight="1">
      <c r="A165" s="5" t="s">
        <v>15</v>
      </c>
      <c r="B165" s="6" t="str">
        <f t="array" ref="B165">XLOOKUP(C165,city_to_region!$B$5:$B$96,city_to_region!$A$5:$A$96)</f>
        <v>Атырауская</v>
      </c>
      <c r="C165" s="6" t="s">
        <v>37</v>
      </c>
      <c r="D165" s="6" t="s">
        <v>926</v>
      </c>
      <c r="E165" s="12">
        <v>45511.0</v>
      </c>
      <c r="F165" s="6" t="s">
        <v>927</v>
      </c>
      <c r="G165" s="6" t="s">
        <v>928</v>
      </c>
      <c r="H165" s="13">
        <v>0.1035</v>
      </c>
      <c r="I165" s="9">
        <v>12.9</v>
      </c>
      <c r="J165" s="10">
        <v>114.0</v>
      </c>
      <c r="K165" s="9" t="s">
        <v>929</v>
      </c>
      <c r="L165" s="9" t="s">
        <v>930</v>
      </c>
      <c r="M165" s="14">
        <v>751.4</v>
      </c>
      <c r="N165" s="11">
        <v>2024.0</v>
      </c>
    </row>
    <row r="166" ht="15.75" customHeight="1">
      <c r="A166" s="5" t="s">
        <v>15</v>
      </c>
      <c r="B166" s="6" t="str">
        <f t="array" ref="B166">XLOOKUP(C166,city_to_region!$B$5:$B$96,city_to_region!$A$5:$A$96)</f>
        <v>Атырауская</v>
      </c>
      <c r="C166" s="6" t="s">
        <v>37</v>
      </c>
      <c r="D166" s="6" t="s">
        <v>931</v>
      </c>
      <c r="E166" s="12">
        <v>45511.0</v>
      </c>
      <c r="F166" s="6" t="s">
        <v>932</v>
      </c>
      <c r="G166" s="6" t="s">
        <v>933</v>
      </c>
      <c r="H166" s="13">
        <v>0.0895</v>
      </c>
      <c r="I166" s="9">
        <v>11.2</v>
      </c>
      <c r="J166" s="10">
        <v>129.0</v>
      </c>
      <c r="K166" s="9" t="s">
        <v>934</v>
      </c>
      <c r="L166" s="9" t="s">
        <v>935</v>
      </c>
      <c r="M166" s="14">
        <v>752.1</v>
      </c>
      <c r="N166" s="11">
        <v>2024.0</v>
      </c>
    </row>
    <row r="167" ht="15.75" customHeight="1">
      <c r="A167" s="5" t="s">
        <v>15</v>
      </c>
      <c r="B167" s="6" t="str">
        <f t="array" ref="B167">XLOOKUP(C167,city_to_region!$B$5:$B$96,city_to_region!$A$5:$A$96)</f>
        <v>Атырауская</v>
      </c>
      <c r="C167" s="6" t="s">
        <v>37</v>
      </c>
      <c r="D167" s="6" t="s">
        <v>936</v>
      </c>
      <c r="E167" s="12">
        <v>45511.0</v>
      </c>
      <c r="F167" s="6" t="s">
        <v>937</v>
      </c>
      <c r="G167" s="6" t="s">
        <v>938</v>
      </c>
      <c r="H167" s="13">
        <v>0.0912</v>
      </c>
      <c r="I167" s="9">
        <v>11.4</v>
      </c>
      <c r="J167" s="10">
        <v>139.0</v>
      </c>
      <c r="K167" s="9" t="s">
        <v>939</v>
      </c>
      <c r="L167" s="9" t="s">
        <v>940</v>
      </c>
      <c r="M167" s="14">
        <v>752.2</v>
      </c>
      <c r="N167" s="11">
        <v>2024.0</v>
      </c>
    </row>
    <row r="168" ht="15.75" customHeight="1">
      <c r="A168" s="5" t="s">
        <v>15</v>
      </c>
      <c r="B168" s="6" t="str">
        <f t="array" ref="B168">XLOOKUP(C168,city_to_region!$B$5:$B$96,city_to_region!$A$5:$A$96)</f>
        <v>Атырауская</v>
      </c>
      <c r="C168" s="6" t="s">
        <v>37</v>
      </c>
      <c r="D168" s="6" t="s">
        <v>941</v>
      </c>
      <c r="E168" s="12">
        <v>45511.0</v>
      </c>
      <c r="F168" s="6" t="s">
        <v>942</v>
      </c>
      <c r="G168" s="6" t="s">
        <v>943</v>
      </c>
      <c r="H168" s="13">
        <v>0.0874</v>
      </c>
      <c r="I168" s="9">
        <v>10.9</v>
      </c>
      <c r="J168" s="10">
        <v>139.0</v>
      </c>
      <c r="K168" s="9" t="s">
        <v>944</v>
      </c>
      <c r="L168" s="9" t="s">
        <v>945</v>
      </c>
      <c r="M168" s="14">
        <v>752.3</v>
      </c>
      <c r="N168" s="11">
        <v>2024.0</v>
      </c>
    </row>
    <row r="169" ht="15.75" customHeight="1">
      <c r="A169" s="5" t="s">
        <v>15</v>
      </c>
      <c r="B169" s="6" t="str">
        <f t="array" ref="B169">XLOOKUP(C169,city_to_region!$B$5:$B$96,city_to_region!$A$5:$A$96)</f>
        <v>Атырауская</v>
      </c>
      <c r="C169" s="6" t="s">
        <v>37</v>
      </c>
      <c r="D169" s="6" t="s">
        <v>946</v>
      </c>
      <c r="E169" s="12">
        <v>45511.0</v>
      </c>
      <c r="F169" s="6" t="s">
        <v>947</v>
      </c>
      <c r="G169" s="6" t="s">
        <v>948</v>
      </c>
      <c r="H169" s="13">
        <v>0.1065</v>
      </c>
      <c r="I169" s="9">
        <v>13.3</v>
      </c>
      <c r="J169" s="10">
        <v>149.0</v>
      </c>
      <c r="K169" s="9" t="s">
        <v>949</v>
      </c>
      <c r="L169" s="9" t="s">
        <v>950</v>
      </c>
      <c r="M169" s="14">
        <v>752.2</v>
      </c>
      <c r="N169" s="11">
        <v>2024.0</v>
      </c>
    </row>
    <row r="170" ht="15.75" customHeight="1">
      <c r="A170" s="5" t="s">
        <v>15</v>
      </c>
      <c r="B170" s="6" t="str">
        <f t="array" ref="B170">XLOOKUP(C170,city_to_region!$B$5:$B$96,city_to_region!$A$5:$A$96)</f>
        <v>Атырауская</v>
      </c>
      <c r="C170" s="6" t="s">
        <v>37</v>
      </c>
      <c r="D170" s="6" t="s">
        <v>951</v>
      </c>
      <c r="E170" s="12">
        <v>45511.0</v>
      </c>
      <c r="F170" s="6" t="s">
        <v>952</v>
      </c>
      <c r="G170" s="6" t="s">
        <v>953</v>
      </c>
      <c r="H170" s="13">
        <v>0.113</v>
      </c>
      <c r="I170" s="9">
        <v>14.1</v>
      </c>
      <c r="J170" s="10">
        <v>140.0</v>
      </c>
      <c r="K170" s="9" t="s">
        <v>954</v>
      </c>
      <c r="L170" s="9" t="s">
        <v>955</v>
      </c>
      <c r="M170" s="14">
        <v>752.4</v>
      </c>
      <c r="N170" s="11">
        <v>2024.0</v>
      </c>
    </row>
    <row r="171" ht="15.75" customHeight="1">
      <c r="A171" s="5" t="s">
        <v>15</v>
      </c>
      <c r="B171" s="6" t="str">
        <f t="array" ref="B171">XLOOKUP(C171,city_to_region!$B$5:$B$96,city_to_region!$A$5:$A$96)</f>
        <v>Атырауская</v>
      </c>
      <c r="C171" s="6" t="s">
        <v>37</v>
      </c>
      <c r="D171" s="6" t="s">
        <v>956</v>
      </c>
      <c r="E171" s="12">
        <v>45511.0</v>
      </c>
      <c r="F171" s="6" t="s">
        <v>957</v>
      </c>
      <c r="G171" s="6" t="s">
        <v>958</v>
      </c>
      <c r="H171" s="13">
        <v>0.1367</v>
      </c>
      <c r="I171" s="9">
        <v>17.1</v>
      </c>
      <c r="J171" s="10">
        <v>169.0</v>
      </c>
      <c r="K171" s="9" t="s">
        <v>959</v>
      </c>
      <c r="L171" s="9" t="s">
        <v>960</v>
      </c>
      <c r="M171" s="14">
        <v>751.9</v>
      </c>
      <c r="N171" s="11">
        <v>2024.0</v>
      </c>
    </row>
    <row r="172" ht="15.75" customHeight="1">
      <c r="A172" s="5" t="s">
        <v>15</v>
      </c>
      <c r="B172" s="6" t="str">
        <f t="array" ref="B172">XLOOKUP(C172,city_to_region!$B$5:$B$96,city_to_region!$A$5:$A$96)</f>
        <v>Атырауская</v>
      </c>
      <c r="C172" s="6" t="s">
        <v>37</v>
      </c>
      <c r="D172" s="6" t="s">
        <v>961</v>
      </c>
      <c r="E172" s="12">
        <v>45511.0</v>
      </c>
      <c r="F172" s="6" t="s">
        <v>962</v>
      </c>
      <c r="G172" s="6" t="s">
        <v>963</v>
      </c>
      <c r="H172" s="13">
        <v>0.1295</v>
      </c>
      <c r="I172" s="9">
        <v>16.2</v>
      </c>
      <c r="J172" s="10">
        <v>213.0</v>
      </c>
      <c r="K172" s="9" t="s">
        <v>964</v>
      </c>
      <c r="L172" s="9" t="s">
        <v>965</v>
      </c>
      <c r="M172" s="14">
        <v>752.2</v>
      </c>
      <c r="N172" s="11">
        <v>2024.0</v>
      </c>
    </row>
    <row r="173" ht="15.75" customHeight="1">
      <c r="A173" s="5" t="s">
        <v>15</v>
      </c>
      <c r="B173" s="6" t="str">
        <f t="array" ref="B173">XLOOKUP(C173,city_to_region!$B$5:$B$96,city_to_region!$A$5:$A$96)</f>
        <v>Атырауская</v>
      </c>
      <c r="C173" s="6" t="s">
        <v>37</v>
      </c>
      <c r="D173" s="6" t="s">
        <v>966</v>
      </c>
      <c r="E173" s="12">
        <v>45511.0</v>
      </c>
      <c r="F173" s="6" t="s">
        <v>967</v>
      </c>
      <c r="G173" s="6" t="s">
        <v>968</v>
      </c>
      <c r="H173" s="13">
        <v>0.1419</v>
      </c>
      <c r="I173" s="9">
        <v>17.7</v>
      </c>
      <c r="J173" s="10">
        <v>186.0</v>
      </c>
      <c r="K173" s="9" t="s">
        <v>969</v>
      </c>
      <c r="L173" s="9" t="s">
        <v>970</v>
      </c>
      <c r="M173" s="14">
        <v>752.1</v>
      </c>
      <c r="N173" s="11">
        <v>2024.0</v>
      </c>
    </row>
    <row r="174" ht="15.75" customHeight="1">
      <c r="A174" s="5" t="s">
        <v>15</v>
      </c>
      <c r="B174" s="6" t="str">
        <f t="array" ref="B174">XLOOKUP(C174,city_to_region!$B$5:$B$96,city_to_region!$A$5:$A$96)</f>
        <v>Атырауская</v>
      </c>
      <c r="C174" s="6" t="s">
        <v>37</v>
      </c>
      <c r="D174" s="6" t="s">
        <v>971</v>
      </c>
      <c r="E174" s="12">
        <v>45511.0</v>
      </c>
      <c r="F174" s="6" t="s">
        <v>972</v>
      </c>
      <c r="G174" s="6" t="s">
        <v>973</v>
      </c>
      <c r="H174" s="13">
        <v>0.1377</v>
      </c>
      <c r="I174" s="9">
        <v>17.2</v>
      </c>
      <c r="J174" s="10">
        <v>133.0</v>
      </c>
      <c r="K174" s="9" t="s">
        <v>974</v>
      </c>
      <c r="L174" s="9" t="s">
        <v>975</v>
      </c>
      <c r="M174" s="14">
        <v>751.9</v>
      </c>
      <c r="N174" s="11">
        <v>2024.0</v>
      </c>
    </row>
    <row r="175" ht="15.75" customHeight="1">
      <c r="A175" s="5" t="s">
        <v>15</v>
      </c>
      <c r="B175" s="6" t="str">
        <f t="array" ref="B175">XLOOKUP(C175,city_to_region!$B$5:$B$96,city_to_region!$A$5:$A$96)</f>
        <v>Атырауская</v>
      </c>
      <c r="C175" s="6" t="s">
        <v>37</v>
      </c>
      <c r="D175" s="6" t="s">
        <v>976</v>
      </c>
      <c r="E175" s="12">
        <v>45511.0</v>
      </c>
      <c r="F175" s="6" t="s">
        <v>977</v>
      </c>
      <c r="G175" s="6" t="s">
        <v>978</v>
      </c>
      <c r="H175" s="13">
        <v>0.154</v>
      </c>
      <c r="I175" s="9">
        <v>19.3</v>
      </c>
      <c r="J175" s="10">
        <v>121.0</v>
      </c>
      <c r="K175" s="9" t="s">
        <v>979</v>
      </c>
      <c r="L175" s="9" t="s">
        <v>980</v>
      </c>
      <c r="M175" s="14">
        <v>751.7</v>
      </c>
      <c r="N175" s="11">
        <v>2024.0</v>
      </c>
    </row>
    <row r="176" ht="15.75" customHeight="1">
      <c r="A176" s="5" t="s">
        <v>15</v>
      </c>
      <c r="B176" s="6" t="str">
        <f t="array" ref="B176">XLOOKUP(C176,city_to_region!$B$5:$B$96,city_to_region!$A$5:$A$96)</f>
        <v>Атырауская</v>
      </c>
      <c r="C176" s="6" t="s">
        <v>37</v>
      </c>
      <c r="D176" s="6" t="s">
        <v>981</v>
      </c>
      <c r="E176" s="12">
        <v>45511.0</v>
      </c>
      <c r="F176" s="6" t="s">
        <v>982</v>
      </c>
      <c r="G176" s="6" t="s">
        <v>983</v>
      </c>
      <c r="H176" s="13">
        <v>0.1627</v>
      </c>
      <c r="I176" s="9">
        <v>20.3</v>
      </c>
      <c r="J176" s="10">
        <v>159.0</v>
      </c>
      <c r="K176" s="18"/>
      <c r="L176" s="9" t="s">
        <v>984</v>
      </c>
      <c r="M176" s="14">
        <v>754.7</v>
      </c>
      <c r="N176" s="11">
        <v>2024.0</v>
      </c>
    </row>
    <row r="177" ht="15.75" customHeight="1">
      <c r="A177" s="5" t="s">
        <v>15</v>
      </c>
      <c r="B177" s="6" t="str">
        <f t="array" ref="B177">XLOOKUP(C177,city_to_region!$B$5:$B$96,city_to_region!$A$5:$A$96)</f>
        <v>Атырауская</v>
      </c>
      <c r="C177" s="6" t="s">
        <v>37</v>
      </c>
      <c r="D177" s="6" t="s">
        <v>985</v>
      </c>
      <c r="E177" s="12">
        <v>45511.0</v>
      </c>
      <c r="F177" s="6" t="s">
        <v>986</v>
      </c>
      <c r="G177" s="6" t="s">
        <v>987</v>
      </c>
      <c r="H177" s="13">
        <v>0.1478</v>
      </c>
      <c r="I177" s="9">
        <v>18.5</v>
      </c>
      <c r="J177" s="10">
        <v>159.0</v>
      </c>
      <c r="K177" s="18"/>
      <c r="L177" s="9" t="s">
        <v>988</v>
      </c>
      <c r="M177" s="14">
        <v>754.6</v>
      </c>
      <c r="N177" s="11">
        <v>2024.0</v>
      </c>
    </row>
    <row r="178" ht="15.75" customHeight="1">
      <c r="A178" s="5" t="s">
        <v>15</v>
      </c>
      <c r="B178" s="6" t="str">
        <f t="array" ref="B178">XLOOKUP(C178,city_to_region!$B$5:$B$96,city_to_region!$A$5:$A$96)</f>
        <v>Атырауская</v>
      </c>
      <c r="C178" s="6" t="s">
        <v>37</v>
      </c>
      <c r="D178" s="6" t="s">
        <v>989</v>
      </c>
      <c r="E178" s="12">
        <v>45511.0</v>
      </c>
      <c r="F178" s="6" t="s">
        <v>990</v>
      </c>
      <c r="G178" s="6" t="s">
        <v>991</v>
      </c>
      <c r="H178" s="13">
        <v>0.1042</v>
      </c>
      <c r="I178" s="9">
        <v>13.0</v>
      </c>
      <c r="J178" s="10">
        <v>159.0</v>
      </c>
      <c r="K178" s="18"/>
      <c r="L178" s="9" t="s">
        <v>992</v>
      </c>
      <c r="M178" s="14">
        <v>754.8</v>
      </c>
      <c r="N178" s="11">
        <v>2024.0</v>
      </c>
    </row>
    <row r="179" ht="15.75" customHeight="1">
      <c r="A179" s="5" t="s">
        <v>15</v>
      </c>
      <c r="B179" s="6" t="str">
        <f t="array" ref="B179">XLOOKUP(C179,city_to_region!$B$5:$B$96,city_to_region!$A$5:$A$96)</f>
        <v>Атырауская</v>
      </c>
      <c r="C179" s="6" t="s">
        <v>37</v>
      </c>
      <c r="D179" s="6" t="s">
        <v>993</v>
      </c>
      <c r="E179" s="12">
        <v>45511.0</v>
      </c>
      <c r="F179" s="6" t="s">
        <v>994</v>
      </c>
      <c r="G179" s="6" t="s">
        <v>995</v>
      </c>
      <c r="H179" s="13">
        <v>0.0841</v>
      </c>
      <c r="I179" s="9">
        <v>10.5</v>
      </c>
      <c r="J179" s="10">
        <v>107.0</v>
      </c>
      <c r="K179" s="9" t="s">
        <v>996</v>
      </c>
      <c r="L179" s="9" t="s">
        <v>997</v>
      </c>
      <c r="M179" s="14">
        <v>752.1</v>
      </c>
      <c r="N179" s="11">
        <v>2024.0</v>
      </c>
    </row>
    <row r="180" ht="15.75" customHeight="1">
      <c r="A180" s="5" t="s">
        <v>15</v>
      </c>
      <c r="B180" s="6" t="str">
        <f t="array" ref="B180">XLOOKUP(C180,city_to_region!$B$5:$B$96,city_to_region!$A$5:$A$96)</f>
        <v>Атырауская</v>
      </c>
      <c r="C180" s="6" t="s">
        <v>37</v>
      </c>
      <c r="D180" s="6" t="s">
        <v>998</v>
      </c>
      <c r="E180" s="12">
        <v>45513.0</v>
      </c>
      <c r="F180" s="6" t="s">
        <v>999</v>
      </c>
      <c r="G180" s="6" t="s">
        <v>1000</v>
      </c>
      <c r="H180" s="13">
        <v>0.1094</v>
      </c>
      <c r="I180" s="9">
        <v>13.7</v>
      </c>
      <c r="J180" s="10">
        <v>134.0</v>
      </c>
      <c r="K180" s="9" t="s">
        <v>1001</v>
      </c>
      <c r="L180" s="9" t="s">
        <v>1002</v>
      </c>
      <c r="M180" s="14">
        <v>755.7</v>
      </c>
      <c r="N180" s="11">
        <v>2024.0</v>
      </c>
    </row>
    <row r="181" ht="15.75" customHeight="1">
      <c r="A181" s="5" t="s">
        <v>15</v>
      </c>
      <c r="B181" s="6" t="str">
        <f t="array" ref="B181">XLOOKUP(C181,city_to_region!$B$5:$B$96,city_to_region!$A$5:$A$96)</f>
        <v>Атырауская</v>
      </c>
      <c r="C181" s="6" t="s">
        <v>37</v>
      </c>
      <c r="D181" s="6" t="s">
        <v>1003</v>
      </c>
      <c r="E181" s="12">
        <v>45513.0</v>
      </c>
      <c r="F181" s="6" t="s">
        <v>1004</v>
      </c>
      <c r="G181" s="6" t="s">
        <v>1005</v>
      </c>
      <c r="H181" s="13">
        <v>0.1043</v>
      </c>
      <c r="I181" s="9">
        <v>13.0</v>
      </c>
      <c r="J181" s="10">
        <v>133.0</v>
      </c>
      <c r="K181" s="9" t="s">
        <v>1006</v>
      </c>
      <c r="L181" s="9" t="s">
        <v>1007</v>
      </c>
      <c r="M181" s="14">
        <v>755.7</v>
      </c>
      <c r="N181" s="11">
        <v>2024.0</v>
      </c>
    </row>
    <row r="182" ht="15.75" customHeight="1">
      <c r="A182" s="5" t="s">
        <v>15</v>
      </c>
      <c r="B182" s="6" t="str">
        <f t="array" ref="B182">XLOOKUP(C182,city_to_region!$B$5:$B$96,city_to_region!$A$5:$A$96)</f>
        <v>Атырауская</v>
      </c>
      <c r="C182" s="6" t="s">
        <v>37</v>
      </c>
      <c r="D182" s="6" t="s">
        <v>1008</v>
      </c>
      <c r="E182" s="12">
        <v>45513.0</v>
      </c>
      <c r="F182" s="6" t="s">
        <v>1009</v>
      </c>
      <c r="G182" s="6" t="s">
        <v>1010</v>
      </c>
      <c r="H182" s="13">
        <v>0.0843</v>
      </c>
      <c r="I182" s="9">
        <v>10.5</v>
      </c>
      <c r="J182" s="10">
        <v>142.0</v>
      </c>
      <c r="K182" s="9" t="s">
        <v>1011</v>
      </c>
      <c r="L182" s="9" t="s">
        <v>1012</v>
      </c>
      <c r="M182" s="14">
        <v>755.6</v>
      </c>
      <c r="N182" s="11">
        <v>2024.0</v>
      </c>
    </row>
    <row r="183" ht="15.75" customHeight="1">
      <c r="A183" s="5" t="s">
        <v>15</v>
      </c>
      <c r="B183" s="6" t="str">
        <f t="array" ref="B183">XLOOKUP(C183,city_to_region!$B$5:$B$96,city_to_region!$A$5:$A$96)</f>
        <v>Атырауская</v>
      </c>
      <c r="C183" s="6" t="s">
        <v>37</v>
      </c>
      <c r="D183" s="6" t="s">
        <v>1013</v>
      </c>
      <c r="E183" s="12">
        <v>45514.0</v>
      </c>
      <c r="F183" s="6" t="s">
        <v>1014</v>
      </c>
      <c r="G183" s="6" t="s">
        <v>1015</v>
      </c>
      <c r="H183" s="13">
        <v>0.0908</v>
      </c>
      <c r="I183" s="9">
        <v>11.4</v>
      </c>
      <c r="J183" s="10">
        <v>134.0</v>
      </c>
      <c r="K183" s="9" t="s">
        <v>1016</v>
      </c>
      <c r="L183" s="9" t="s">
        <v>1017</v>
      </c>
      <c r="M183" s="14">
        <v>755.8</v>
      </c>
      <c r="N183" s="11">
        <v>2024.0</v>
      </c>
    </row>
    <row r="184" ht="15.75" customHeight="1">
      <c r="A184" s="5" t="s">
        <v>15</v>
      </c>
      <c r="B184" s="6" t="str">
        <f t="array" ref="B184">XLOOKUP(C184,city_to_region!$B$5:$B$96,city_to_region!$A$5:$A$96)</f>
        <v>Атырауская</v>
      </c>
      <c r="C184" s="6" t="s">
        <v>37</v>
      </c>
      <c r="D184" s="6" t="s">
        <v>1018</v>
      </c>
      <c r="E184" s="12">
        <v>45514.0</v>
      </c>
      <c r="F184" s="6" t="s">
        <v>1019</v>
      </c>
      <c r="G184" s="6" t="s">
        <v>1020</v>
      </c>
      <c r="H184" s="13">
        <v>0.1116</v>
      </c>
      <c r="I184" s="9">
        <v>14.0</v>
      </c>
      <c r="J184" s="10">
        <v>140.0</v>
      </c>
      <c r="K184" s="9" t="s">
        <v>1021</v>
      </c>
      <c r="L184" s="9" t="s">
        <v>1022</v>
      </c>
      <c r="M184" s="14">
        <v>755.9</v>
      </c>
      <c r="N184" s="11">
        <v>2024.0</v>
      </c>
    </row>
    <row r="185" ht="15.75" customHeight="1">
      <c r="A185" s="5" t="s">
        <v>15</v>
      </c>
      <c r="B185" s="6" t="str">
        <f t="array" ref="B185">XLOOKUP(C185,city_to_region!$B$5:$B$96,city_to_region!$A$5:$A$96)</f>
        <v>Атырауская</v>
      </c>
      <c r="C185" s="6" t="s">
        <v>37</v>
      </c>
      <c r="D185" s="6" t="s">
        <v>1023</v>
      </c>
      <c r="E185" s="12">
        <v>45514.0</v>
      </c>
      <c r="F185" s="6" t="s">
        <v>1024</v>
      </c>
      <c r="G185" s="6" t="s">
        <v>1025</v>
      </c>
      <c r="H185" s="13">
        <v>0.1397</v>
      </c>
      <c r="I185" s="9">
        <v>17.5</v>
      </c>
      <c r="J185" s="10">
        <v>138.0</v>
      </c>
      <c r="K185" s="9" t="s">
        <v>1026</v>
      </c>
      <c r="L185" s="9" t="s">
        <v>1027</v>
      </c>
      <c r="M185" s="14">
        <v>755.9</v>
      </c>
      <c r="N185" s="11">
        <v>2024.0</v>
      </c>
    </row>
    <row r="186" ht="15.75" customHeight="1">
      <c r="A186" s="5" t="s">
        <v>15</v>
      </c>
      <c r="B186" s="6" t="str">
        <f t="array" ref="B186">XLOOKUP(C186,city_to_region!$B$5:$B$96,city_to_region!$A$5:$A$96)</f>
        <v>Атырауская</v>
      </c>
      <c r="C186" s="6" t="s">
        <v>37</v>
      </c>
      <c r="D186" s="6" t="s">
        <v>1028</v>
      </c>
      <c r="E186" s="12">
        <v>45514.0</v>
      </c>
      <c r="F186" s="6" t="s">
        <v>1029</v>
      </c>
      <c r="G186" s="6" t="s">
        <v>1030</v>
      </c>
      <c r="H186" s="13">
        <v>0.189</v>
      </c>
      <c r="I186" s="9">
        <v>23.6</v>
      </c>
      <c r="J186" s="10">
        <v>115.0</v>
      </c>
      <c r="K186" s="9" t="s">
        <v>1031</v>
      </c>
      <c r="L186" s="9" t="s">
        <v>1032</v>
      </c>
      <c r="M186" s="14">
        <v>756.0</v>
      </c>
      <c r="N186" s="11">
        <v>2024.0</v>
      </c>
    </row>
    <row r="187" ht="15.75" customHeight="1">
      <c r="A187" s="5" t="s">
        <v>15</v>
      </c>
      <c r="B187" s="6" t="str">
        <f t="array" ref="B187">XLOOKUP(C187,city_to_region!$B$5:$B$96,city_to_region!$A$5:$A$96)</f>
        <v>Атырауская</v>
      </c>
      <c r="C187" s="6" t="s">
        <v>37</v>
      </c>
      <c r="D187" s="6" t="s">
        <v>1033</v>
      </c>
      <c r="E187" s="12">
        <v>45514.0</v>
      </c>
      <c r="F187" s="6" t="s">
        <v>1034</v>
      </c>
      <c r="G187" s="6" t="s">
        <v>1035</v>
      </c>
      <c r="H187" s="13">
        <v>0.1006</v>
      </c>
      <c r="I187" s="9">
        <v>12.6</v>
      </c>
      <c r="J187" s="10">
        <v>61.0</v>
      </c>
      <c r="K187" s="9" t="s">
        <v>1036</v>
      </c>
      <c r="L187" s="9" t="s">
        <v>1037</v>
      </c>
      <c r="M187" s="14">
        <v>756.1</v>
      </c>
      <c r="N187" s="11">
        <v>2024.0</v>
      </c>
    </row>
    <row r="188" ht="15.75" customHeight="1">
      <c r="A188" s="5" t="s">
        <v>15</v>
      </c>
      <c r="B188" s="6" t="str">
        <f t="array" ref="B188">XLOOKUP(C188,city_to_region!$B$5:$B$96,city_to_region!$A$5:$A$96)</f>
        <v>Атырауская</v>
      </c>
      <c r="C188" s="6" t="s">
        <v>37</v>
      </c>
      <c r="D188" s="6" t="s">
        <v>1038</v>
      </c>
      <c r="E188" s="12">
        <v>45514.0</v>
      </c>
      <c r="F188" s="6" t="s">
        <v>1039</v>
      </c>
      <c r="G188" s="6" t="s">
        <v>1040</v>
      </c>
      <c r="H188" s="13">
        <v>0.1276</v>
      </c>
      <c r="I188" s="9">
        <v>16.0</v>
      </c>
      <c r="J188" s="10">
        <v>137.0</v>
      </c>
      <c r="K188" s="9" t="s">
        <v>1041</v>
      </c>
      <c r="L188" s="9" t="s">
        <v>1042</v>
      </c>
      <c r="M188" s="14">
        <v>756.8</v>
      </c>
      <c r="N188" s="11">
        <v>2024.0</v>
      </c>
    </row>
    <row r="189" ht="15.75" customHeight="1">
      <c r="A189" s="5" t="s">
        <v>15</v>
      </c>
      <c r="B189" s="6" t="str">
        <f t="array" ref="B189">XLOOKUP(C189,city_to_region!$B$5:$B$96,city_to_region!$A$5:$A$96)</f>
        <v>Атырауская</v>
      </c>
      <c r="C189" s="6" t="s">
        <v>37</v>
      </c>
      <c r="D189" s="6" t="s">
        <v>1043</v>
      </c>
      <c r="E189" s="12">
        <v>45514.0</v>
      </c>
      <c r="F189" s="6" t="s">
        <v>1044</v>
      </c>
      <c r="G189" s="6" t="s">
        <v>1045</v>
      </c>
      <c r="H189" s="13">
        <v>0.2472</v>
      </c>
      <c r="I189" s="9">
        <v>30.9</v>
      </c>
      <c r="J189" s="10">
        <v>134.0</v>
      </c>
      <c r="K189" s="9" t="s">
        <v>1046</v>
      </c>
      <c r="L189" s="9" t="s">
        <v>1047</v>
      </c>
      <c r="M189" s="14">
        <v>756.9</v>
      </c>
      <c r="N189" s="11">
        <v>2024.0</v>
      </c>
    </row>
    <row r="190" ht="15.75" customHeight="1">
      <c r="A190" s="5" t="s">
        <v>15</v>
      </c>
      <c r="B190" s="6" t="str">
        <f t="array" ref="B190">XLOOKUP(C190,city_to_region!$B$5:$B$96,city_to_region!$A$5:$A$96)</f>
        <v>Атырауская</v>
      </c>
      <c r="C190" s="6" t="s">
        <v>37</v>
      </c>
      <c r="D190" s="6" t="s">
        <v>1048</v>
      </c>
      <c r="E190" s="12">
        <v>45514.0</v>
      </c>
      <c r="F190" s="6" t="s">
        <v>1049</v>
      </c>
      <c r="G190" s="6" t="s">
        <v>1050</v>
      </c>
      <c r="H190" s="13">
        <v>0.2185</v>
      </c>
      <c r="I190" s="9">
        <v>27.3</v>
      </c>
      <c r="J190" s="10">
        <v>124.0</v>
      </c>
      <c r="K190" s="9" t="s">
        <v>1051</v>
      </c>
      <c r="L190" s="9" t="s">
        <v>1052</v>
      </c>
      <c r="M190" s="14">
        <v>756.9</v>
      </c>
      <c r="N190" s="11">
        <v>2024.0</v>
      </c>
    </row>
    <row r="191" ht="15.75" customHeight="1">
      <c r="A191" s="5" t="s">
        <v>15</v>
      </c>
      <c r="B191" s="6" t="str">
        <f t="array" ref="B191">XLOOKUP(C191,city_to_region!$B$5:$B$96,city_to_region!$A$5:$A$96)</f>
        <v>Атырауская</v>
      </c>
      <c r="C191" s="6" t="s">
        <v>37</v>
      </c>
      <c r="D191" s="6" t="s">
        <v>1053</v>
      </c>
      <c r="E191" s="12">
        <v>45514.0</v>
      </c>
      <c r="F191" s="6" t="s">
        <v>1054</v>
      </c>
      <c r="G191" s="6" t="s">
        <v>1055</v>
      </c>
      <c r="H191" s="13">
        <v>0.1638</v>
      </c>
      <c r="I191" s="9">
        <v>20.5</v>
      </c>
      <c r="J191" s="10">
        <v>124.0</v>
      </c>
      <c r="K191" s="9" t="s">
        <v>1056</v>
      </c>
      <c r="L191" s="9" t="s">
        <v>1057</v>
      </c>
      <c r="M191" s="14">
        <v>757.0</v>
      </c>
      <c r="N191" s="11">
        <v>2024.0</v>
      </c>
    </row>
    <row r="192" ht="15.75" customHeight="1">
      <c r="A192" s="5" t="s">
        <v>15</v>
      </c>
      <c r="B192" s="6" t="str">
        <f t="array" ref="B192">XLOOKUP(C192,city_to_region!$B$5:$B$96,city_to_region!$A$5:$A$96)</f>
        <v>Атырауская</v>
      </c>
      <c r="C192" s="6" t="s">
        <v>37</v>
      </c>
      <c r="D192" s="6" t="s">
        <v>1058</v>
      </c>
      <c r="E192" s="12">
        <v>45514.0</v>
      </c>
      <c r="F192" s="6" t="s">
        <v>1059</v>
      </c>
      <c r="G192" s="6" t="s">
        <v>1060</v>
      </c>
      <c r="H192" s="13">
        <v>0.0965</v>
      </c>
      <c r="I192" s="9">
        <v>12.1</v>
      </c>
      <c r="J192" s="10">
        <v>141.0</v>
      </c>
      <c r="K192" s="9" t="s">
        <v>1061</v>
      </c>
      <c r="L192" s="9" t="s">
        <v>1062</v>
      </c>
      <c r="M192" s="14">
        <v>757.0</v>
      </c>
      <c r="N192" s="11">
        <v>2024.0</v>
      </c>
    </row>
    <row r="193" ht="15.75" customHeight="1">
      <c r="A193" s="5" t="s">
        <v>15</v>
      </c>
      <c r="B193" s="6" t="str">
        <f t="array" ref="B193">XLOOKUP(C193,city_to_region!$B$5:$B$96,city_to_region!$A$5:$A$96)</f>
        <v>Атырауская</v>
      </c>
      <c r="C193" s="6" t="s">
        <v>37</v>
      </c>
      <c r="D193" s="6" t="s">
        <v>1063</v>
      </c>
      <c r="E193" s="12">
        <v>45514.0</v>
      </c>
      <c r="F193" s="6" t="s">
        <v>1064</v>
      </c>
      <c r="G193" s="6" t="s">
        <v>1065</v>
      </c>
      <c r="H193" s="13">
        <v>0.1016</v>
      </c>
      <c r="I193" s="9">
        <v>12.7</v>
      </c>
      <c r="J193" s="10">
        <v>140.0</v>
      </c>
      <c r="K193" s="9" t="s">
        <v>1066</v>
      </c>
      <c r="L193" s="9" t="s">
        <v>1067</v>
      </c>
      <c r="M193" s="14">
        <v>757.0</v>
      </c>
      <c r="N193" s="11">
        <v>2024.0</v>
      </c>
    </row>
    <row r="194" ht="15.75" customHeight="1">
      <c r="A194" s="5" t="s">
        <v>15</v>
      </c>
      <c r="B194" s="6" t="str">
        <f t="array" ref="B194">XLOOKUP(C194,city_to_region!$B$5:$B$96,city_to_region!$A$5:$A$96)</f>
        <v>Атырауская</v>
      </c>
      <c r="C194" s="6" t="s">
        <v>37</v>
      </c>
      <c r="D194" s="6" t="s">
        <v>1068</v>
      </c>
      <c r="E194" s="12">
        <v>45514.0</v>
      </c>
      <c r="F194" s="6" t="s">
        <v>1069</v>
      </c>
      <c r="G194" s="6" t="s">
        <v>1070</v>
      </c>
      <c r="H194" s="13">
        <v>0.0853</v>
      </c>
      <c r="I194" s="9">
        <v>10.7</v>
      </c>
      <c r="J194" s="10">
        <v>139.0</v>
      </c>
      <c r="K194" s="9" t="s">
        <v>1071</v>
      </c>
      <c r="L194" s="9" t="s">
        <v>1072</v>
      </c>
      <c r="M194" s="14">
        <v>757.1</v>
      </c>
      <c r="N194" s="11">
        <v>2024.0</v>
      </c>
    </row>
    <row r="195" ht="15.75" customHeight="1">
      <c r="A195" s="5" t="s">
        <v>15</v>
      </c>
      <c r="B195" s="6" t="str">
        <f t="array" ref="B195">XLOOKUP(C195,city_to_region!$B$5:$B$96,city_to_region!$A$5:$A$96)</f>
        <v>Атырауская</v>
      </c>
      <c r="C195" s="6" t="s">
        <v>37</v>
      </c>
      <c r="D195" s="6" t="s">
        <v>1073</v>
      </c>
      <c r="E195" s="12">
        <v>45514.0</v>
      </c>
      <c r="F195" s="6" t="s">
        <v>1074</v>
      </c>
      <c r="G195" s="6" t="s">
        <v>1075</v>
      </c>
      <c r="H195" s="13">
        <v>0.0873</v>
      </c>
      <c r="I195" s="9">
        <v>10.9</v>
      </c>
      <c r="J195" s="10">
        <v>130.0</v>
      </c>
      <c r="K195" s="9" t="s">
        <v>1076</v>
      </c>
      <c r="L195" s="9" t="s">
        <v>1077</v>
      </c>
      <c r="M195" s="14">
        <v>756.5</v>
      </c>
      <c r="N195" s="11">
        <v>2024.0</v>
      </c>
    </row>
    <row r="196" ht="15.75" customHeight="1">
      <c r="A196" s="5" t="s">
        <v>15</v>
      </c>
      <c r="B196" s="6" t="str">
        <f t="array" ref="B196">XLOOKUP(C196,city_to_region!$B$5:$B$96,city_to_region!$A$5:$A$96)</f>
        <v>Атырауская</v>
      </c>
      <c r="C196" s="6" t="s">
        <v>37</v>
      </c>
      <c r="D196" s="6" t="s">
        <v>1078</v>
      </c>
      <c r="E196" s="12">
        <v>45514.0</v>
      </c>
      <c r="F196" s="6" t="s">
        <v>1079</v>
      </c>
      <c r="G196" s="6" t="s">
        <v>1080</v>
      </c>
      <c r="H196" s="13">
        <v>0.104</v>
      </c>
      <c r="I196" s="9">
        <v>13.0</v>
      </c>
      <c r="J196" s="10">
        <v>128.0</v>
      </c>
      <c r="K196" s="9" t="s">
        <v>1081</v>
      </c>
      <c r="L196" s="9" t="s">
        <v>1082</v>
      </c>
      <c r="M196" s="14">
        <v>756.7</v>
      </c>
      <c r="N196" s="11">
        <v>2024.0</v>
      </c>
    </row>
    <row r="197" ht="15.75" customHeight="1">
      <c r="A197" s="5" t="s">
        <v>15</v>
      </c>
      <c r="B197" s="6" t="str">
        <f t="array" ref="B197">XLOOKUP(C197,city_to_region!$B$5:$B$96,city_to_region!$A$5:$A$96)</f>
        <v>Атырауская</v>
      </c>
      <c r="C197" s="6" t="s">
        <v>37</v>
      </c>
      <c r="D197" s="6" t="s">
        <v>1083</v>
      </c>
      <c r="E197" s="12">
        <v>45514.0</v>
      </c>
      <c r="F197" s="6" t="s">
        <v>1084</v>
      </c>
      <c r="G197" s="6" t="s">
        <v>1085</v>
      </c>
      <c r="H197" s="13">
        <v>0.0986</v>
      </c>
      <c r="I197" s="9">
        <v>12.3</v>
      </c>
      <c r="J197" s="10">
        <v>135.0</v>
      </c>
      <c r="K197" s="9" t="s">
        <v>1086</v>
      </c>
      <c r="L197" s="9" t="s">
        <v>1087</v>
      </c>
      <c r="M197" s="14">
        <v>756.7</v>
      </c>
      <c r="N197" s="11">
        <v>2024.0</v>
      </c>
    </row>
    <row r="198" ht="15.75" customHeight="1">
      <c r="A198" s="5" t="s">
        <v>15</v>
      </c>
      <c r="B198" s="6" t="str">
        <f t="array" ref="B198">XLOOKUP(C198,city_to_region!$B$5:$B$96,city_to_region!$A$5:$A$96)</f>
        <v>Атырауская</v>
      </c>
      <c r="C198" s="6" t="s">
        <v>37</v>
      </c>
      <c r="D198" s="6" t="s">
        <v>1088</v>
      </c>
      <c r="E198" s="12">
        <v>45514.0</v>
      </c>
      <c r="F198" s="6" t="s">
        <v>1089</v>
      </c>
      <c r="G198" s="6" t="s">
        <v>1090</v>
      </c>
      <c r="H198" s="13">
        <v>0.1149</v>
      </c>
      <c r="I198" s="9">
        <v>14.4</v>
      </c>
      <c r="J198" s="10">
        <v>163.0</v>
      </c>
      <c r="K198" s="9" t="s">
        <v>1091</v>
      </c>
      <c r="L198" s="9" t="s">
        <v>1092</v>
      </c>
      <c r="M198" s="14">
        <v>755.4</v>
      </c>
      <c r="N198" s="11">
        <v>2024.0</v>
      </c>
    </row>
    <row r="199" ht="15.75" customHeight="1">
      <c r="A199" s="5" t="s">
        <v>15</v>
      </c>
      <c r="B199" s="6" t="str">
        <f t="array" ref="B199">XLOOKUP(C199,city_to_region!$B$5:$B$96,city_to_region!$A$5:$A$96)</f>
        <v>Атырауская</v>
      </c>
      <c r="C199" s="6" t="s">
        <v>37</v>
      </c>
      <c r="D199" s="6" t="s">
        <v>1093</v>
      </c>
      <c r="E199" s="12">
        <v>45514.0</v>
      </c>
      <c r="F199" s="6" t="s">
        <v>1094</v>
      </c>
      <c r="G199" s="6" t="s">
        <v>1095</v>
      </c>
      <c r="H199" s="13">
        <v>0.0805</v>
      </c>
      <c r="I199" s="9">
        <v>10.1</v>
      </c>
      <c r="J199" s="10">
        <v>161.0</v>
      </c>
      <c r="K199" s="9" t="s">
        <v>1096</v>
      </c>
      <c r="L199" s="9" t="s">
        <v>1097</v>
      </c>
      <c r="M199" s="14">
        <v>755.4</v>
      </c>
      <c r="N199" s="11">
        <v>2024.0</v>
      </c>
    </row>
    <row r="200" ht="15.75" customHeight="1">
      <c r="A200" s="5" t="s">
        <v>15</v>
      </c>
      <c r="B200" s="6" t="str">
        <f t="array" ref="B200">XLOOKUP(C200,city_to_region!$B$5:$B$96,city_to_region!$A$5:$A$96)</f>
        <v>Атырауская</v>
      </c>
      <c r="C200" s="6" t="s">
        <v>37</v>
      </c>
      <c r="D200" s="6" t="s">
        <v>1098</v>
      </c>
      <c r="E200" s="12">
        <v>45514.0</v>
      </c>
      <c r="F200" s="6" t="s">
        <v>1099</v>
      </c>
      <c r="G200" s="6" t="s">
        <v>1100</v>
      </c>
      <c r="H200" s="13">
        <v>0.0822</v>
      </c>
      <c r="I200" s="9">
        <v>10.3</v>
      </c>
      <c r="J200" s="10">
        <v>301.0</v>
      </c>
      <c r="K200" s="9" t="s">
        <v>1101</v>
      </c>
      <c r="L200" s="9" t="s">
        <v>1102</v>
      </c>
      <c r="M200" s="14">
        <v>757.2</v>
      </c>
      <c r="N200" s="11">
        <v>2024.0</v>
      </c>
    </row>
    <row r="201" ht="15.75" customHeight="1">
      <c r="A201" s="5" t="s">
        <v>15</v>
      </c>
      <c r="B201" s="6" t="str">
        <f t="array" ref="B201">XLOOKUP(C201,city_to_region!$B$5:$B$96,city_to_region!$A$5:$A$96)</f>
        <v>Атырауская</v>
      </c>
      <c r="C201" s="6" t="s">
        <v>37</v>
      </c>
      <c r="D201" s="6" t="s">
        <v>1103</v>
      </c>
      <c r="E201" s="12">
        <v>45514.0</v>
      </c>
      <c r="F201" s="6" t="s">
        <v>1104</v>
      </c>
      <c r="G201" s="6" t="s">
        <v>1105</v>
      </c>
      <c r="H201" s="13">
        <v>0.1169</v>
      </c>
      <c r="I201" s="9">
        <v>14.6</v>
      </c>
      <c r="J201" s="10">
        <v>296.0</v>
      </c>
      <c r="K201" s="9" t="s">
        <v>1106</v>
      </c>
      <c r="L201" s="9" t="s">
        <v>1107</v>
      </c>
      <c r="M201" s="14">
        <v>757.2</v>
      </c>
      <c r="N201" s="11">
        <v>2024.0</v>
      </c>
    </row>
    <row r="202" ht="15.75" customHeight="1">
      <c r="A202" s="5" t="s">
        <v>15</v>
      </c>
      <c r="B202" s="6" t="str">
        <f t="array" ref="B202">XLOOKUP(C202,city_to_region!$B$5:$B$96,city_to_region!$A$5:$A$96)</f>
        <v>Атырауская</v>
      </c>
      <c r="C202" s="6" t="s">
        <v>37</v>
      </c>
      <c r="D202" s="6" t="s">
        <v>1108</v>
      </c>
      <c r="E202" s="12">
        <v>45514.0</v>
      </c>
      <c r="F202" s="6" t="s">
        <v>1109</v>
      </c>
      <c r="G202" s="6" t="s">
        <v>1110</v>
      </c>
      <c r="H202" s="13">
        <v>0.1116</v>
      </c>
      <c r="I202" s="9">
        <v>14.0</v>
      </c>
      <c r="J202" s="10">
        <v>52.0</v>
      </c>
      <c r="K202" s="9" t="s">
        <v>1111</v>
      </c>
      <c r="L202" s="9" t="s">
        <v>1112</v>
      </c>
      <c r="M202" s="14">
        <v>758.1</v>
      </c>
      <c r="N202" s="11">
        <v>2024.0</v>
      </c>
    </row>
    <row r="203" ht="15.75" customHeight="1">
      <c r="A203" s="5" t="s">
        <v>15</v>
      </c>
      <c r="B203" s="6" t="str">
        <f t="array" ref="B203">XLOOKUP(C203,city_to_region!$B$5:$B$96,city_to_region!$A$5:$A$96)</f>
        <v>Атырауская</v>
      </c>
      <c r="C203" s="6" t="s">
        <v>37</v>
      </c>
      <c r="D203" s="6" t="s">
        <v>1113</v>
      </c>
      <c r="E203" s="12">
        <v>45514.0</v>
      </c>
      <c r="F203" s="6" t="s">
        <v>1114</v>
      </c>
      <c r="G203" s="6" t="s">
        <v>1115</v>
      </c>
      <c r="H203" s="13">
        <v>0.1441</v>
      </c>
      <c r="I203" s="9">
        <v>18.0</v>
      </c>
      <c r="J203" s="10">
        <v>52.0</v>
      </c>
      <c r="K203" s="9" t="s">
        <v>1116</v>
      </c>
      <c r="L203" s="9" t="s">
        <v>1117</v>
      </c>
      <c r="M203" s="14">
        <v>758.2</v>
      </c>
      <c r="N203" s="11">
        <v>2024.0</v>
      </c>
    </row>
    <row r="204" ht="15.75" customHeight="1">
      <c r="A204" s="5" t="s">
        <v>15</v>
      </c>
      <c r="B204" s="6" t="str">
        <f t="array" ref="B204">XLOOKUP(C204,city_to_region!$B$5:$B$96,city_to_region!$A$5:$A$96)</f>
        <v>Атырауская</v>
      </c>
      <c r="C204" s="6" t="s">
        <v>37</v>
      </c>
      <c r="D204" s="6" t="s">
        <v>1118</v>
      </c>
      <c r="E204" s="12">
        <v>45514.0</v>
      </c>
      <c r="F204" s="6" t="s">
        <v>1119</v>
      </c>
      <c r="G204" s="6" t="s">
        <v>1120</v>
      </c>
      <c r="H204" s="13">
        <v>0.1417</v>
      </c>
      <c r="I204" s="9">
        <v>17.7</v>
      </c>
      <c r="J204" s="10">
        <v>257.0</v>
      </c>
      <c r="K204" s="9" t="s">
        <v>1121</v>
      </c>
      <c r="L204" s="9" t="s">
        <v>1122</v>
      </c>
      <c r="M204" s="14">
        <v>757.1</v>
      </c>
      <c r="N204" s="11">
        <v>2024.0</v>
      </c>
    </row>
    <row r="205" ht="15.75" customHeight="1">
      <c r="A205" s="5" t="s">
        <v>15</v>
      </c>
      <c r="B205" s="6" t="str">
        <f t="array" ref="B205">XLOOKUP(C205,city_to_region!$B$5:$B$96,city_to_region!$A$5:$A$96)</f>
        <v>Атырауская</v>
      </c>
      <c r="C205" s="6" t="s">
        <v>37</v>
      </c>
      <c r="D205" s="6" t="s">
        <v>1123</v>
      </c>
      <c r="E205" s="12">
        <v>45514.0</v>
      </c>
      <c r="F205" s="6" t="s">
        <v>1124</v>
      </c>
      <c r="G205" s="6" t="s">
        <v>1125</v>
      </c>
      <c r="H205" s="13">
        <v>0.1208</v>
      </c>
      <c r="I205" s="9">
        <v>15.1</v>
      </c>
      <c r="J205" s="10">
        <v>251.0</v>
      </c>
      <c r="K205" s="9" t="s">
        <v>1126</v>
      </c>
      <c r="L205" s="9" t="s">
        <v>1127</v>
      </c>
      <c r="M205" s="14">
        <v>757.1</v>
      </c>
      <c r="N205" s="11">
        <v>2024.0</v>
      </c>
    </row>
    <row r="206" ht="15.75" customHeight="1">
      <c r="A206" s="5" t="s">
        <v>15</v>
      </c>
      <c r="B206" s="6" t="str">
        <f t="array" ref="B206">XLOOKUP(C206,city_to_region!$B$5:$B$96,city_to_region!$A$5:$A$96)</f>
        <v>Атырауская</v>
      </c>
      <c r="C206" s="6" t="s">
        <v>37</v>
      </c>
      <c r="D206" s="6" t="s">
        <v>1128</v>
      </c>
      <c r="E206" s="12">
        <v>45514.0</v>
      </c>
      <c r="F206" s="6" t="s">
        <v>1129</v>
      </c>
      <c r="G206" s="6" t="s">
        <v>1130</v>
      </c>
      <c r="H206" s="13">
        <v>0.1006</v>
      </c>
      <c r="I206" s="9">
        <v>12.6</v>
      </c>
      <c r="J206" s="10">
        <v>275.0</v>
      </c>
      <c r="K206" s="9" t="s">
        <v>1131</v>
      </c>
      <c r="L206" s="9" t="s">
        <v>1132</v>
      </c>
      <c r="M206" s="14">
        <v>758.7</v>
      </c>
      <c r="N206" s="11">
        <v>2024.0</v>
      </c>
    </row>
    <row r="207" ht="15.75" customHeight="1">
      <c r="A207" s="5" t="s">
        <v>15</v>
      </c>
      <c r="B207" s="6" t="str">
        <f t="array" ref="B207">XLOOKUP(C207,city_to_region!$B$5:$B$96,city_to_region!$A$5:$A$96)</f>
        <v>Атырауская</v>
      </c>
      <c r="C207" s="6" t="s">
        <v>37</v>
      </c>
      <c r="D207" s="6" t="s">
        <v>1133</v>
      </c>
      <c r="E207" s="12">
        <v>45514.0</v>
      </c>
      <c r="F207" s="6" t="s">
        <v>1134</v>
      </c>
      <c r="G207" s="6" t="s">
        <v>1135</v>
      </c>
      <c r="H207" s="13">
        <v>0.1056</v>
      </c>
      <c r="I207" s="9">
        <v>13.2</v>
      </c>
      <c r="J207" s="10">
        <v>279.0</v>
      </c>
      <c r="K207" s="9" t="s">
        <v>1136</v>
      </c>
      <c r="L207" s="9" t="s">
        <v>1137</v>
      </c>
      <c r="M207" s="14">
        <v>758.8</v>
      </c>
      <c r="N207" s="11">
        <v>2024.0</v>
      </c>
    </row>
    <row r="208" ht="15.75" customHeight="1">
      <c r="A208" s="5" t="s">
        <v>15</v>
      </c>
      <c r="B208" s="6" t="str">
        <f t="array" ref="B208">XLOOKUP(C208,city_to_region!$B$5:$B$96,city_to_region!$A$5:$A$96)</f>
        <v>Атырауская</v>
      </c>
      <c r="C208" s="6" t="s">
        <v>37</v>
      </c>
      <c r="D208" s="6" t="s">
        <v>1138</v>
      </c>
      <c r="E208" s="12">
        <v>45514.0</v>
      </c>
      <c r="F208" s="6" t="s">
        <v>1139</v>
      </c>
      <c r="G208" s="6" t="s">
        <v>1140</v>
      </c>
      <c r="H208" s="13">
        <v>0.095</v>
      </c>
      <c r="I208" s="9">
        <v>11.9</v>
      </c>
      <c r="J208" s="10">
        <v>278.0</v>
      </c>
      <c r="K208" s="9" t="s">
        <v>1141</v>
      </c>
      <c r="L208" s="9" t="s">
        <v>1142</v>
      </c>
      <c r="M208" s="14">
        <v>758.8</v>
      </c>
      <c r="N208" s="11">
        <v>2024.0</v>
      </c>
    </row>
    <row r="209" ht="15.75" customHeight="1">
      <c r="A209" s="5" t="s">
        <v>15</v>
      </c>
      <c r="B209" s="6" t="str">
        <f t="array" ref="B209">XLOOKUP(C209,city_to_region!$B$5:$B$96,city_to_region!$A$5:$A$96)</f>
        <v>Атырауская</v>
      </c>
      <c r="C209" s="6" t="s">
        <v>37</v>
      </c>
      <c r="D209" s="6" t="s">
        <v>1143</v>
      </c>
      <c r="E209" s="12">
        <v>45515.0</v>
      </c>
      <c r="F209" s="6" t="s">
        <v>1144</v>
      </c>
      <c r="G209" s="6" t="s">
        <v>1145</v>
      </c>
      <c r="H209" s="13">
        <v>0.0898</v>
      </c>
      <c r="I209" s="9">
        <v>11.2</v>
      </c>
      <c r="J209" s="10">
        <v>156.0</v>
      </c>
      <c r="K209" s="9" t="s">
        <v>1146</v>
      </c>
      <c r="L209" s="9" t="s">
        <v>1147</v>
      </c>
      <c r="M209" s="14">
        <v>756.9</v>
      </c>
      <c r="N209" s="11">
        <v>2024.0</v>
      </c>
    </row>
    <row r="210" ht="15.75" customHeight="1">
      <c r="A210" s="5" t="s">
        <v>15</v>
      </c>
      <c r="B210" s="6" t="str">
        <f t="array" ref="B210">XLOOKUP(C210,city_to_region!$B$5:$B$96,city_to_region!$A$5:$A$96)</f>
        <v>Атырауская</v>
      </c>
      <c r="C210" s="6" t="s">
        <v>37</v>
      </c>
      <c r="D210" s="6" t="s">
        <v>1148</v>
      </c>
      <c r="E210" s="12">
        <v>45515.0</v>
      </c>
      <c r="F210" s="6" t="s">
        <v>1149</v>
      </c>
      <c r="G210" s="6" t="s">
        <v>1150</v>
      </c>
      <c r="H210" s="13">
        <v>0.0876</v>
      </c>
      <c r="I210" s="9">
        <v>11.0</v>
      </c>
      <c r="J210" s="10">
        <v>166.0</v>
      </c>
      <c r="K210" s="9" t="s">
        <v>1151</v>
      </c>
      <c r="L210" s="9" t="s">
        <v>1152</v>
      </c>
      <c r="M210" s="14">
        <v>756.9</v>
      </c>
      <c r="N210" s="11">
        <v>2024.0</v>
      </c>
    </row>
    <row r="211" ht="15.75" customHeight="1">
      <c r="A211" s="5" t="s">
        <v>15</v>
      </c>
      <c r="B211" s="6" t="str">
        <f t="array" ref="B211">XLOOKUP(C211,city_to_region!$B$5:$B$96,city_to_region!$A$5:$A$96)</f>
        <v>Атырауская</v>
      </c>
      <c r="C211" s="6" t="s">
        <v>37</v>
      </c>
      <c r="D211" s="6" t="s">
        <v>1153</v>
      </c>
      <c r="E211" s="12">
        <v>45515.0</v>
      </c>
      <c r="F211" s="6" t="s">
        <v>1154</v>
      </c>
      <c r="G211" s="6" t="s">
        <v>1155</v>
      </c>
      <c r="H211" s="13">
        <v>0.0901</v>
      </c>
      <c r="I211" s="9">
        <v>11.3</v>
      </c>
      <c r="J211" s="18"/>
      <c r="K211" s="18"/>
      <c r="L211" s="9" t="s">
        <v>1156</v>
      </c>
      <c r="M211" s="14">
        <v>759.3</v>
      </c>
      <c r="N211" s="11">
        <v>2024.0</v>
      </c>
    </row>
    <row r="212" ht="15.75" customHeight="1">
      <c r="A212" s="5" t="s">
        <v>15</v>
      </c>
      <c r="B212" s="6" t="str">
        <f t="array" ref="B212">XLOOKUP(C212,city_to_region!$B$5:$B$96,city_to_region!$A$5:$A$96)</f>
        <v>Атырауская</v>
      </c>
      <c r="C212" s="6" t="s">
        <v>37</v>
      </c>
      <c r="D212" s="6" t="s">
        <v>1157</v>
      </c>
      <c r="E212" s="12">
        <v>45515.0</v>
      </c>
      <c r="F212" s="6" t="s">
        <v>1158</v>
      </c>
      <c r="G212" s="6" t="s">
        <v>1159</v>
      </c>
      <c r="H212" s="13">
        <v>0.1608</v>
      </c>
      <c r="I212" s="9">
        <v>20.1</v>
      </c>
      <c r="J212" s="10">
        <v>91.0</v>
      </c>
      <c r="K212" s="9" t="s">
        <v>1160</v>
      </c>
      <c r="L212" s="9" t="s">
        <v>1161</v>
      </c>
      <c r="M212" s="14">
        <v>757.1</v>
      </c>
      <c r="N212" s="11">
        <v>2024.0</v>
      </c>
    </row>
    <row r="213" ht="15.75" customHeight="1">
      <c r="A213" s="5" t="s">
        <v>15</v>
      </c>
      <c r="B213" s="6" t="str">
        <f t="array" ref="B213">XLOOKUP(C213,city_to_region!$B$5:$B$96,city_to_region!$A$5:$A$96)</f>
        <v>Атырауская</v>
      </c>
      <c r="C213" s="6" t="s">
        <v>37</v>
      </c>
      <c r="D213" s="6" t="s">
        <v>1162</v>
      </c>
      <c r="E213" s="12">
        <v>45515.0</v>
      </c>
      <c r="F213" s="6" t="s">
        <v>1163</v>
      </c>
      <c r="G213" s="6" t="s">
        <v>1164</v>
      </c>
      <c r="H213" s="13">
        <v>0.1572</v>
      </c>
      <c r="I213" s="9">
        <v>19.7</v>
      </c>
      <c r="J213" s="10">
        <v>88.0</v>
      </c>
      <c r="K213" s="9" t="s">
        <v>1165</v>
      </c>
      <c r="L213" s="9" t="s">
        <v>1166</v>
      </c>
      <c r="M213" s="14">
        <v>757.1</v>
      </c>
      <c r="N213" s="11">
        <v>2024.0</v>
      </c>
    </row>
    <row r="214" ht="15.75" customHeight="1">
      <c r="A214" s="5" t="s">
        <v>15</v>
      </c>
      <c r="B214" s="6" t="str">
        <f t="array" ref="B214">XLOOKUP(C214,city_to_region!$B$5:$B$96,city_to_region!$A$5:$A$96)</f>
        <v>Атырауская</v>
      </c>
      <c r="C214" s="6" t="s">
        <v>37</v>
      </c>
      <c r="D214" s="6" t="s">
        <v>1167</v>
      </c>
      <c r="E214" s="12">
        <v>45515.0</v>
      </c>
      <c r="F214" s="6" t="s">
        <v>1168</v>
      </c>
      <c r="G214" s="6" t="s">
        <v>1169</v>
      </c>
      <c r="H214" s="13">
        <v>0.0935</v>
      </c>
      <c r="I214" s="9">
        <v>11.7</v>
      </c>
      <c r="J214" s="10">
        <v>72.0</v>
      </c>
      <c r="K214" s="9" t="s">
        <v>1170</v>
      </c>
      <c r="L214" s="9" t="s">
        <v>1171</v>
      </c>
      <c r="M214" s="14">
        <v>757.1</v>
      </c>
      <c r="N214" s="11">
        <v>2024.0</v>
      </c>
    </row>
    <row r="215" ht="15.75" customHeight="1">
      <c r="A215" s="5" t="s">
        <v>15</v>
      </c>
      <c r="B215" s="6" t="str">
        <f t="array" ref="B215">XLOOKUP(C215,city_to_region!$B$5:$B$96,city_to_region!$A$5:$A$96)</f>
        <v>Атырауская</v>
      </c>
      <c r="C215" s="6" t="s">
        <v>37</v>
      </c>
      <c r="D215" s="6" t="s">
        <v>1172</v>
      </c>
      <c r="E215" s="12">
        <v>45515.0</v>
      </c>
      <c r="F215" s="6" t="s">
        <v>1173</v>
      </c>
      <c r="G215" s="6" t="s">
        <v>1174</v>
      </c>
      <c r="H215" s="13">
        <v>0.0831</v>
      </c>
      <c r="I215" s="9">
        <v>10.4</v>
      </c>
      <c r="J215" s="10">
        <v>261.0</v>
      </c>
      <c r="K215" s="9" t="s">
        <v>1175</v>
      </c>
      <c r="L215" s="9" t="s">
        <v>1176</v>
      </c>
      <c r="M215" s="14">
        <v>759.0</v>
      </c>
      <c r="N215" s="11">
        <v>2024.0</v>
      </c>
    </row>
    <row r="216" ht="15.75" customHeight="1">
      <c r="A216" s="5" t="s">
        <v>15</v>
      </c>
      <c r="B216" s="6" t="str">
        <f t="array" ref="B216">XLOOKUP(C216,city_to_region!$B$5:$B$96,city_to_region!$A$5:$A$96)</f>
        <v>Атырауская</v>
      </c>
      <c r="C216" s="6" t="s">
        <v>37</v>
      </c>
      <c r="D216" s="6" t="s">
        <v>1177</v>
      </c>
      <c r="E216" s="12">
        <v>45533.0</v>
      </c>
      <c r="F216" s="6" t="s">
        <v>1178</v>
      </c>
      <c r="G216" s="6" t="s">
        <v>1179</v>
      </c>
      <c r="H216" s="13">
        <v>0.0859</v>
      </c>
      <c r="I216" s="9">
        <v>10.7</v>
      </c>
      <c r="J216" s="10">
        <v>320.0</v>
      </c>
      <c r="K216" s="9" t="s">
        <v>1180</v>
      </c>
      <c r="L216" s="9" t="s">
        <v>1181</v>
      </c>
      <c r="M216" s="14">
        <v>765.8</v>
      </c>
      <c r="N216" s="11">
        <v>2024.0</v>
      </c>
    </row>
    <row r="217" ht="15.75" customHeight="1">
      <c r="A217" s="5" t="s">
        <v>15</v>
      </c>
      <c r="B217" s="6" t="str">
        <f t="array" ref="B217">XLOOKUP(C217,city_to_region!$B$5:$B$96,city_to_region!$A$5:$A$96)</f>
        <v>Атырауская</v>
      </c>
      <c r="C217" s="6" t="s">
        <v>37</v>
      </c>
      <c r="D217" s="6" t="s">
        <v>1182</v>
      </c>
      <c r="E217" s="12">
        <v>45533.0</v>
      </c>
      <c r="F217" s="6" t="s">
        <v>1183</v>
      </c>
      <c r="G217" s="6" t="s">
        <v>1184</v>
      </c>
      <c r="H217" s="13">
        <v>0.0936</v>
      </c>
      <c r="I217" s="9">
        <v>11.7</v>
      </c>
      <c r="J217" s="10">
        <v>246.0</v>
      </c>
      <c r="K217" s="9" t="s">
        <v>1185</v>
      </c>
      <c r="L217" s="9" t="s">
        <v>1186</v>
      </c>
      <c r="M217" s="14">
        <v>767.7</v>
      </c>
      <c r="N217" s="11">
        <v>2024.0</v>
      </c>
    </row>
    <row r="218" ht="15.75" customHeight="1">
      <c r="A218" s="5" t="s">
        <v>15</v>
      </c>
      <c r="B218" s="6" t="str">
        <f t="array" ref="B218">XLOOKUP(C218,city_to_region!$B$5:$B$96,city_to_region!$A$5:$A$96)</f>
        <v>Атырауская</v>
      </c>
      <c r="C218" s="6" t="s">
        <v>37</v>
      </c>
      <c r="D218" s="6" t="s">
        <v>1187</v>
      </c>
      <c r="E218" s="12">
        <v>45534.0</v>
      </c>
      <c r="F218" s="6" t="s">
        <v>1188</v>
      </c>
      <c r="G218" s="6" t="s">
        <v>1189</v>
      </c>
      <c r="H218" s="13">
        <v>0.0868</v>
      </c>
      <c r="I218" s="9">
        <v>10.9</v>
      </c>
      <c r="J218" s="10">
        <v>244.0</v>
      </c>
      <c r="K218" s="9" t="s">
        <v>1190</v>
      </c>
      <c r="L218" s="9" t="s">
        <v>1191</v>
      </c>
      <c r="M218" s="14">
        <v>767.7</v>
      </c>
      <c r="N218" s="11">
        <v>2024.0</v>
      </c>
    </row>
    <row r="219" ht="15.75" customHeight="1">
      <c r="A219" s="5" t="s">
        <v>15</v>
      </c>
      <c r="B219" s="6" t="str">
        <f t="array" ref="B219">XLOOKUP(C219,city_to_region!$B$5:$B$96,city_to_region!$A$5:$A$96)</f>
        <v>Атырауская</v>
      </c>
      <c r="C219" s="6" t="s">
        <v>37</v>
      </c>
      <c r="D219" s="6" t="s">
        <v>1192</v>
      </c>
      <c r="E219" s="12">
        <v>45535.0</v>
      </c>
      <c r="F219" s="6" t="s">
        <v>1193</v>
      </c>
      <c r="G219" s="6" t="s">
        <v>1194</v>
      </c>
      <c r="H219" s="13">
        <v>0.0897</v>
      </c>
      <c r="I219" s="9">
        <v>11.2</v>
      </c>
      <c r="J219" s="10">
        <v>285.0</v>
      </c>
      <c r="K219" s="9" t="s">
        <v>1195</v>
      </c>
      <c r="L219" s="9" t="s">
        <v>1196</v>
      </c>
      <c r="M219" s="14">
        <v>763.3</v>
      </c>
      <c r="N219" s="11">
        <v>2024.0</v>
      </c>
    </row>
    <row r="220" ht="15.75" customHeight="1">
      <c r="A220" s="5" t="s">
        <v>15</v>
      </c>
      <c r="B220" s="6" t="str">
        <f t="array" ref="B220">XLOOKUP(C220,city_to_region!$B$5:$B$96,city_to_region!$A$5:$A$96)</f>
        <v>Атырауская</v>
      </c>
      <c r="C220" s="6" t="s">
        <v>37</v>
      </c>
      <c r="D220" s="6" t="s">
        <v>1197</v>
      </c>
      <c r="E220" s="7">
        <v>45572.0</v>
      </c>
      <c r="F220" s="6" t="s">
        <v>1198</v>
      </c>
      <c r="G220" s="6" t="s">
        <v>1199</v>
      </c>
      <c r="H220" s="9" t="s">
        <v>1200</v>
      </c>
      <c r="I220" s="9">
        <v>13.1</v>
      </c>
      <c r="J220" s="10">
        <v>86.0</v>
      </c>
      <c r="K220" s="9" t="s">
        <v>1201</v>
      </c>
      <c r="L220" s="9" t="s">
        <v>1202</v>
      </c>
      <c r="M220" s="9" t="s">
        <v>1203</v>
      </c>
      <c r="N220" s="11">
        <v>2024.0</v>
      </c>
    </row>
    <row r="221" ht="15.75" customHeight="1">
      <c r="A221" s="5" t="s">
        <v>15</v>
      </c>
      <c r="B221" s="6" t="str">
        <f t="array" ref="B221">XLOOKUP(C221,city_to_region!$B$5:$B$96,city_to_region!$A$5:$A$96)</f>
        <v>Атырауская</v>
      </c>
      <c r="C221" s="6" t="s">
        <v>37</v>
      </c>
      <c r="D221" s="6" t="s">
        <v>1204</v>
      </c>
      <c r="E221" s="7">
        <v>45572.0</v>
      </c>
      <c r="F221" s="6" t="s">
        <v>1205</v>
      </c>
      <c r="G221" s="6" t="s">
        <v>1206</v>
      </c>
      <c r="H221" s="9" t="s">
        <v>1207</v>
      </c>
      <c r="I221" s="9">
        <v>15.1</v>
      </c>
      <c r="J221" s="10">
        <v>91.0</v>
      </c>
      <c r="K221" s="9" t="s">
        <v>1208</v>
      </c>
      <c r="L221" s="9" t="s">
        <v>1209</v>
      </c>
      <c r="M221" s="9" t="s">
        <v>1210</v>
      </c>
      <c r="N221" s="11">
        <v>2024.0</v>
      </c>
    </row>
    <row r="222" ht="15.75" customHeight="1">
      <c r="A222" s="5" t="s">
        <v>15</v>
      </c>
      <c r="B222" s="6" t="str">
        <f t="array" ref="B222">XLOOKUP(C222,city_to_region!$B$5:$B$96,city_to_region!$A$5:$A$96)</f>
        <v>Атырауская</v>
      </c>
      <c r="C222" s="6" t="s">
        <v>37</v>
      </c>
      <c r="D222" s="6" t="s">
        <v>1211</v>
      </c>
      <c r="E222" s="7">
        <v>45572.0</v>
      </c>
      <c r="F222" s="6" t="s">
        <v>1212</v>
      </c>
      <c r="G222" s="6" t="s">
        <v>1213</v>
      </c>
      <c r="H222" s="9" t="s">
        <v>1214</v>
      </c>
      <c r="I222" s="9">
        <v>11.5</v>
      </c>
      <c r="J222" s="10">
        <v>97.0</v>
      </c>
      <c r="K222" s="9" t="s">
        <v>1215</v>
      </c>
      <c r="L222" s="9" t="s">
        <v>1216</v>
      </c>
      <c r="M222" s="9" t="s">
        <v>1217</v>
      </c>
      <c r="N222" s="11">
        <v>2024.0</v>
      </c>
    </row>
    <row r="223" ht="15.75" customHeight="1">
      <c r="A223" s="5" t="s">
        <v>15</v>
      </c>
      <c r="B223" s="6" t="str">
        <f t="array" ref="B223">XLOOKUP(C223,city_to_region!$B$5:$B$96,city_to_region!$A$5:$A$96)</f>
        <v>Атырауская</v>
      </c>
      <c r="C223" s="6" t="s">
        <v>37</v>
      </c>
      <c r="D223" s="6" t="s">
        <v>1218</v>
      </c>
      <c r="E223" s="7">
        <v>45572.0</v>
      </c>
      <c r="F223" s="6" t="s">
        <v>1219</v>
      </c>
      <c r="G223" s="6" t="s">
        <v>1220</v>
      </c>
      <c r="H223" s="9" t="s">
        <v>1221</v>
      </c>
      <c r="I223" s="9">
        <v>12.2</v>
      </c>
      <c r="J223" s="10">
        <v>90.0</v>
      </c>
      <c r="K223" s="9" t="s">
        <v>1222</v>
      </c>
      <c r="L223" s="9" t="s">
        <v>1223</v>
      </c>
      <c r="M223" s="9" t="s">
        <v>1224</v>
      </c>
      <c r="N223" s="11">
        <v>2024.0</v>
      </c>
    </row>
    <row r="224" ht="15.75" customHeight="1">
      <c r="A224" s="5" t="s">
        <v>15</v>
      </c>
      <c r="B224" s="6" t="str">
        <f t="array" ref="B224">XLOOKUP(C224,city_to_region!$B$5:$B$96,city_to_region!$A$5:$A$96)</f>
        <v>Атырауская</v>
      </c>
      <c r="C224" s="6" t="s">
        <v>37</v>
      </c>
      <c r="D224" s="6" t="s">
        <v>1225</v>
      </c>
      <c r="E224" s="7">
        <v>45572.0</v>
      </c>
      <c r="F224" s="6" t="s">
        <v>1226</v>
      </c>
      <c r="G224" s="6" t="s">
        <v>1227</v>
      </c>
      <c r="H224" s="9" t="s">
        <v>1228</v>
      </c>
      <c r="I224" s="16">
        <v>14.0</v>
      </c>
      <c r="J224" s="10">
        <v>89.0</v>
      </c>
      <c r="K224" s="9" t="s">
        <v>1229</v>
      </c>
      <c r="L224" s="9" t="s">
        <v>1230</v>
      </c>
      <c r="M224" s="9" t="s">
        <v>1231</v>
      </c>
      <c r="N224" s="11">
        <v>2024.0</v>
      </c>
    </row>
    <row r="225" ht="15.75" customHeight="1">
      <c r="A225" s="5" t="s">
        <v>15</v>
      </c>
      <c r="B225" s="6" t="str">
        <f t="array" ref="B225">XLOOKUP(C225,city_to_region!$B$5:$B$96,city_to_region!$A$5:$A$96)</f>
        <v>Атырауская</v>
      </c>
      <c r="C225" s="6" t="s">
        <v>37</v>
      </c>
      <c r="D225" s="6" t="s">
        <v>1232</v>
      </c>
      <c r="E225" s="7">
        <v>45572.0</v>
      </c>
      <c r="F225" s="6" t="s">
        <v>1233</v>
      </c>
      <c r="G225" s="6" t="s">
        <v>1234</v>
      </c>
      <c r="H225" s="13">
        <v>0.1056</v>
      </c>
      <c r="I225" s="9">
        <v>13.2</v>
      </c>
      <c r="J225" s="10">
        <v>91.0</v>
      </c>
      <c r="K225" s="9" t="s">
        <v>1235</v>
      </c>
      <c r="L225" s="9" t="s">
        <v>1236</v>
      </c>
      <c r="M225" s="14">
        <v>766.2</v>
      </c>
      <c r="N225" s="11">
        <v>2024.0</v>
      </c>
    </row>
    <row r="226" ht="15.75" customHeight="1">
      <c r="A226" s="5" t="s">
        <v>15</v>
      </c>
      <c r="B226" s="6" t="str">
        <f t="array" ref="B226">XLOOKUP(C226,city_to_region!$B$5:$B$96,city_to_region!$A$5:$A$96)</f>
        <v>Атырауская</v>
      </c>
      <c r="C226" s="6" t="s">
        <v>37</v>
      </c>
      <c r="D226" s="6" t="s">
        <v>1237</v>
      </c>
      <c r="E226" s="7">
        <v>45573.0</v>
      </c>
      <c r="F226" s="6" t="s">
        <v>1238</v>
      </c>
      <c r="G226" s="6" t="s">
        <v>1239</v>
      </c>
      <c r="H226" s="13">
        <v>0.2492</v>
      </c>
      <c r="I226" s="16">
        <v>31.2</v>
      </c>
      <c r="J226" s="10">
        <v>102.0</v>
      </c>
      <c r="K226" s="9" t="s">
        <v>1240</v>
      </c>
      <c r="L226" s="9" t="s">
        <v>1241</v>
      </c>
      <c r="M226" s="14">
        <v>761.8</v>
      </c>
      <c r="N226" s="11">
        <v>2024.0</v>
      </c>
    </row>
    <row r="227" ht="15.75" customHeight="1">
      <c r="A227" s="5" t="s">
        <v>15</v>
      </c>
      <c r="B227" s="6" t="str">
        <f t="array" ref="B227">XLOOKUP(C227,city_to_region!$B$5:$B$96,city_to_region!$A$5:$A$96)</f>
        <v>Атырауская</v>
      </c>
      <c r="C227" s="6" t="s">
        <v>37</v>
      </c>
      <c r="D227" s="6" t="s">
        <v>1242</v>
      </c>
      <c r="E227" s="7">
        <v>45573.0</v>
      </c>
      <c r="F227" s="6" t="s">
        <v>1243</v>
      </c>
      <c r="G227" s="6" t="s">
        <v>1244</v>
      </c>
      <c r="H227" s="13">
        <v>0.3273</v>
      </c>
      <c r="I227" s="16">
        <v>40.9</v>
      </c>
      <c r="J227" s="10">
        <v>110.0</v>
      </c>
      <c r="K227" s="9" t="s">
        <v>1245</v>
      </c>
      <c r="L227" s="9" t="s">
        <v>1246</v>
      </c>
      <c r="M227" s="14">
        <v>761.8</v>
      </c>
      <c r="N227" s="11">
        <v>2024.0</v>
      </c>
    </row>
    <row r="228" ht="15.75" customHeight="1">
      <c r="A228" s="5" t="s">
        <v>15</v>
      </c>
      <c r="B228" s="6" t="str">
        <f t="array" ref="B228">XLOOKUP(C228,city_to_region!$B$5:$B$96,city_to_region!$A$5:$A$96)</f>
        <v>Актюбинская</v>
      </c>
      <c r="C228" s="6" t="s">
        <v>1247</v>
      </c>
      <c r="D228" s="6" t="s">
        <v>1248</v>
      </c>
      <c r="E228" s="7">
        <v>45433.0</v>
      </c>
      <c r="F228" s="6" t="s">
        <v>1249</v>
      </c>
      <c r="G228" s="6" t="s">
        <v>1250</v>
      </c>
      <c r="H228" s="9" t="s">
        <v>1251</v>
      </c>
      <c r="I228" s="9">
        <v>10.5</v>
      </c>
      <c r="J228" s="10">
        <v>180.0</v>
      </c>
      <c r="K228" s="9" t="s">
        <v>1252</v>
      </c>
      <c r="L228" s="9" t="s">
        <v>1253</v>
      </c>
      <c r="M228" s="10">
        <v>738.0</v>
      </c>
      <c r="N228" s="11">
        <v>2024.0</v>
      </c>
    </row>
    <row r="229" ht="15.75" customHeight="1">
      <c r="A229" s="5" t="s">
        <v>15</v>
      </c>
      <c r="B229" s="6" t="str">
        <f t="array" ref="B229">XLOOKUP(C229,city_to_region!$B$5:$B$96,city_to_region!$A$5:$A$96)</f>
        <v>Актюбинская</v>
      </c>
      <c r="C229" s="6" t="s">
        <v>1247</v>
      </c>
      <c r="D229" s="6" t="s">
        <v>1254</v>
      </c>
      <c r="E229" s="7">
        <v>45433.0</v>
      </c>
      <c r="F229" s="6" t="s">
        <v>1255</v>
      </c>
      <c r="G229" s="6" t="s">
        <v>1256</v>
      </c>
      <c r="H229" s="9" t="s">
        <v>1257</v>
      </c>
      <c r="I229" s="9">
        <v>10.6</v>
      </c>
      <c r="J229" s="10">
        <v>180.0</v>
      </c>
      <c r="K229" s="9" t="s">
        <v>1258</v>
      </c>
      <c r="L229" s="9" t="s">
        <v>1259</v>
      </c>
      <c r="M229" s="10">
        <v>738.0</v>
      </c>
      <c r="N229" s="11">
        <v>2024.0</v>
      </c>
    </row>
    <row r="230" ht="15.75" customHeight="1">
      <c r="A230" s="5" t="s">
        <v>15</v>
      </c>
      <c r="B230" s="6" t="str">
        <f t="array" ref="B230">XLOOKUP(C230,city_to_region!$B$5:$B$96,city_to_region!$A$5:$A$96)</f>
        <v>Актюбинская</v>
      </c>
      <c r="C230" s="6" t="s">
        <v>1247</v>
      </c>
      <c r="D230" s="6" t="s">
        <v>1260</v>
      </c>
      <c r="E230" s="7">
        <v>45453.0</v>
      </c>
      <c r="F230" s="6" t="s">
        <v>1261</v>
      </c>
      <c r="G230" s="6" t="s">
        <v>1262</v>
      </c>
      <c r="H230" s="9" t="s">
        <v>1263</v>
      </c>
      <c r="I230" s="9">
        <v>10.2</v>
      </c>
      <c r="J230" s="10">
        <v>325.0</v>
      </c>
      <c r="K230" s="9" t="s">
        <v>1264</v>
      </c>
      <c r="L230" s="9" t="s">
        <v>1265</v>
      </c>
      <c r="M230" s="10">
        <v>738.0</v>
      </c>
      <c r="N230" s="11">
        <v>2024.0</v>
      </c>
    </row>
    <row r="231" ht="15.75" customHeight="1">
      <c r="A231" s="5" t="s">
        <v>15</v>
      </c>
      <c r="B231" s="6" t="str">
        <f t="array" ref="B231">XLOOKUP(C231,city_to_region!$B$5:$B$96,city_to_region!$A$5:$A$96)</f>
        <v>Актюбинская</v>
      </c>
      <c r="C231" s="6" t="s">
        <v>1247</v>
      </c>
      <c r="D231" s="6" t="s">
        <v>1266</v>
      </c>
      <c r="E231" s="7">
        <v>45460.0</v>
      </c>
      <c r="F231" s="6" t="s">
        <v>1267</v>
      </c>
      <c r="G231" s="6" t="s">
        <v>1268</v>
      </c>
      <c r="H231" s="9" t="s">
        <v>1269</v>
      </c>
      <c r="I231" s="9">
        <v>16.3</v>
      </c>
      <c r="J231" s="10">
        <v>300.0</v>
      </c>
      <c r="K231" s="9" t="s">
        <v>1270</v>
      </c>
      <c r="L231" s="9" t="s">
        <v>1271</v>
      </c>
      <c r="M231" s="10">
        <v>742.0</v>
      </c>
      <c r="N231" s="11">
        <v>2024.0</v>
      </c>
    </row>
    <row r="232" ht="15.75" customHeight="1">
      <c r="A232" s="5" t="s">
        <v>15</v>
      </c>
      <c r="B232" s="6" t="str">
        <f t="array" ref="B232">XLOOKUP(C232,city_to_region!$B$5:$B$96,city_to_region!$A$5:$A$96)</f>
        <v>Актюбинская</v>
      </c>
      <c r="C232" s="6" t="s">
        <v>1247</v>
      </c>
      <c r="D232" s="6" t="s">
        <v>1272</v>
      </c>
      <c r="E232" s="7">
        <v>45460.0</v>
      </c>
      <c r="F232" s="6" t="s">
        <v>1273</v>
      </c>
      <c r="G232" s="6" t="s">
        <v>1274</v>
      </c>
      <c r="H232" s="9" t="s">
        <v>1275</v>
      </c>
      <c r="I232" s="9">
        <v>21.3</v>
      </c>
      <c r="J232" s="10">
        <v>300.0</v>
      </c>
      <c r="K232" s="9" t="s">
        <v>1276</v>
      </c>
      <c r="L232" s="9" t="s">
        <v>1277</v>
      </c>
      <c r="M232" s="10">
        <v>742.0</v>
      </c>
      <c r="N232" s="11">
        <v>2024.0</v>
      </c>
    </row>
    <row r="233" ht="15.75" customHeight="1">
      <c r="A233" s="5" t="s">
        <v>15</v>
      </c>
      <c r="B233" s="6" t="str">
        <f t="array" ref="B233">XLOOKUP(C233,city_to_region!$B$5:$B$96,city_to_region!$A$5:$A$96)</f>
        <v>Актюбинская</v>
      </c>
      <c r="C233" s="6" t="s">
        <v>1247</v>
      </c>
      <c r="D233" s="6" t="s">
        <v>1278</v>
      </c>
      <c r="E233" s="7">
        <v>45460.0</v>
      </c>
      <c r="F233" s="6" t="s">
        <v>1279</v>
      </c>
      <c r="G233" s="6" t="s">
        <v>1280</v>
      </c>
      <c r="H233" s="9" t="s">
        <v>1281</v>
      </c>
      <c r="I233" s="16">
        <v>15.0</v>
      </c>
      <c r="J233" s="10">
        <v>310.0</v>
      </c>
      <c r="K233" s="9" t="s">
        <v>1282</v>
      </c>
      <c r="L233" s="9" t="s">
        <v>1283</v>
      </c>
      <c r="M233" s="10">
        <v>742.0</v>
      </c>
      <c r="N233" s="11">
        <v>2024.0</v>
      </c>
    </row>
    <row r="234" ht="15.75" customHeight="1">
      <c r="A234" s="5" t="s">
        <v>15</v>
      </c>
      <c r="B234" s="6" t="str">
        <f t="array" ref="B234">XLOOKUP(C234,city_to_region!$B$5:$B$96,city_to_region!$A$5:$A$96)</f>
        <v>Актюбинская</v>
      </c>
      <c r="C234" s="6" t="s">
        <v>1284</v>
      </c>
      <c r="D234" s="6" t="s">
        <v>1285</v>
      </c>
      <c r="E234" s="7">
        <v>45476.0</v>
      </c>
      <c r="F234" s="6" t="s">
        <v>1286</v>
      </c>
      <c r="G234" s="6" t="s">
        <v>1287</v>
      </c>
      <c r="H234" s="9" t="s">
        <v>1288</v>
      </c>
      <c r="I234" s="9">
        <v>13.0</v>
      </c>
      <c r="J234" s="10">
        <v>257.0</v>
      </c>
      <c r="K234" s="9" t="s">
        <v>1289</v>
      </c>
      <c r="L234" s="9" t="s">
        <v>1290</v>
      </c>
      <c r="M234" s="9" t="s">
        <v>1291</v>
      </c>
      <c r="N234" s="11">
        <v>2024.0</v>
      </c>
    </row>
    <row r="235" ht="15.75" customHeight="1">
      <c r="A235" s="5" t="s">
        <v>15</v>
      </c>
      <c r="B235" s="6" t="str">
        <f t="array" ref="B235">XLOOKUP(C235,city_to_region!$B$5:$B$96,city_to_region!$A$5:$A$96)</f>
        <v>Актюбинская</v>
      </c>
      <c r="C235" s="6" t="s">
        <v>1284</v>
      </c>
      <c r="D235" s="6" t="s">
        <v>1292</v>
      </c>
      <c r="E235" s="7">
        <v>45477.0</v>
      </c>
      <c r="F235" s="6" t="s">
        <v>1293</v>
      </c>
      <c r="G235" s="6" t="s">
        <v>1294</v>
      </c>
      <c r="H235" s="9" t="s">
        <v>1295</v>
      </c>
      <c r="I235" s="9">
        <v>11.9</v>
      </c>
      <c r="J235" s="10">
        <v>217.0</v>
      </c>
      <c r="K235" s="9" t="s">
        <v>1296</v>
      </c>
      <c r="L235" s="9" t="s">
        <v>1297</v>
      </c>
      <c r="M235" s="9" t="s">
        <v>1298</v>
      </c>
      <c r="N235" s="11">
        <v>2024.0</v>
      </c>
    </row>
    <row r="236" ht="15.75" customHeight="1">
      <c r="A236" s="5" t="s">
        <v>15</v>
      </c>
      <c r="B236" s="6" t="str">
        <f t="array" ref="B236">XLOOKUP(C236,city_to_region!$B$5:$B$96,city_to_region!$A$5:$A$96)</f>
        <v>Актюбинская</v>
      </c>
      <c r="C236" s="6" t="s">
        <v>1284</v>
      </c>
      <c r="D236" s="6" t="s">
        <v>1299</v>
      </c>
      <c r="E236" s="7">
        <v>45477.0</v>
      </c>
      <c r="F236" s="6" t="s">
        <v>1300</v>
      </c>
      <c r="G236" s="6" t="s">
        <v>1301</v>
      </c>
      <c r="H236" s="9" t="s">
        <v>1302</v>
      </c>
      <c r="I236" s="9">
        <v>12.3</v>
      </c>
      <c r="J236" s="10">
        <v>219.0</v>
      </c>
      <c r="K236" s="9" t="s">
        <v>1303</v>
      </c>
      <c r="L236" s="9" t="s">
        <v>1304</v>
      </c>
      <c r="M236" s="9" t="s">
        <v>1305</v>
      </c>
      <c r="N236" s="11">
        <v>2024.0</v>
      </c>
    </row>
    <row r="237" ht="15.75" customHeight="1">
      <c r="A237" s="5" t="s">
        <v>15</v>
      </c>
      <c r="B237" s="6" t="str">
        <f t="array" ref="B237">XLOOKUP(C237,city_to_region!$B$5:$B$96,city_to_region!$A$5:$A$96)</f>
        <v>Актюбинская</v>
      </c>
      <c r="C237" s="6" t="s">
        <v>1284</v>
      </c>
      <c r="D237" s="6" t="s">
        <v>1306</v>
      </c>
      <c r="E237" s="7">
        <v>45477.0</v>
      </c>
      <c r="F237" s="6" t="s">
        <v>1307</v>
      </c>
      <c r="G237" s="6" t="s">
        <v>1308</v>
      </c>
      <c r="H237" s="9" t="s">
        <v>1309</v>
      </c>
      <c r="I237" s="9">
        <v>10.2</v>
      </c>
      <c r="J237" s="10">
        <v>204.0</v>
      </c>
      <c r="K237" s="9" t="s">
        <v>1310</v>
      </c>
      <c r="L237" s="9" t="s">
        <v>1311</v>
      </c>
      <c r="M237" s="9" t="s">
        <v>1312</v>
      </c>
      <c r="N237" s="11">
        <v>2024.0</v>
      </c>
    </row>
    <row r="238" ht="15.75" customHeight="1">
      <c r="A238" s="5" t="s">
        <v>15</v>
      </c>
      <c r="B238" s="6" t="str">
        <f t="array" ref="B238">XLOOKUP(C238,city_to_region!$B$5:$B$96,city_to_region!$A$5:$A$96)</f>
        <v>Актюбинская</v>
      </c>
      <c r="C238" s="6" t="s">
        <v>1284</v>
      </c>
      <c r="D238" s="6" t="s">
        <v>1313</v>
      </c>
      <c r="E238" s="7">
        <v>45477.0</v>
      </c>
      <c r="F238" s="6" t="s">
        <v>1314</v>
      </c>
      <c r="G238" s="6" t="s">
        <v>1315</v>
      </c>
      <c r="H238" s="9" t="s">
        <v>1316</v>
      </c>
      <c r="I238" s="9">
        <v>14.6</v>
      </c>
      <c r="J238" s="10">
        <v>191.0</v>
      </c>
      <c r="K238" s="9" t="s">
        <v>1317</v>
      </c>
      <c r="L238" s="9" t="s">
        <v>1318</v>
      </c>
      <c r="M238" s="9" t="s">
        <v>1319</v>
      </c>
      <c r="N238" s="11">
        <v>2024.0</v>
      </c>
    </row>
    <row r="239" ht="15.75" customHeight="1">
      <c r="A239" s="5" t="s">
        <v>15</v>
      </c>
      <c r="B239" s="6" t="str">
        <f t="array" ref="B239">XLOOKUP(C239,city_to_region!$B$5:$B$96,city_to_region!$A$5:$A$96)</f>
        <v>Карагандинская</v>
      </c>
      <c r="C239" s="6" t="s">
        <v>1320</v>
      </c>
      <c r="D239" s="6" t="s">
        <v>1321</v>
      </c>
      <c r="E239" s="7">
        <v>45306.0</v>
      </c>
      <c r="F239" s="6" t="s">
        <v>1322</v>
      </c>
      <c r="G239" s="8" t="s">
        <v>1323</v>
      </c>
      <c r="H239" s="9" t="s">
        <v>1324</v>
      </c>
      <c r="I239" s="9">
        <v>11.4</v>
      </c>
      <c r="J239" s="10">
        <v>193.0</v>
      </c>
      <c r="K239" s="9" t="s">
        <v>1325</v>
      </c>
      <c r="L239" s="9" t="s">
        <v>1326</v>
      </c>
      <c r="M239" s="9" t="s">
        <v>1327</v>
      </c>
      <c r="N239" s="11">
        <v>2024.0</v>
      </c>
    </row>
    <row r="240" ht="15.75" customHeight="1">
      <c r="A240" s="5" t="s">
        <v>15</v>
      </c>
      <c r="B240" s="6" t="str">
        <f t="array" ref="B240">XLOOKUP(C240,city_to_region!$B$5:$B$96,city_to_region!$A$5:$A$96)</f>
        <v>Карагандинская</v>
      </c>
      <c r="C240" s="6" t="s">
        <v>1320</v>
      </c>
      <c r="D240" s="6" t="s">
        <v>1328</v>
      </c>
      <c r="E240" s="7">
        <v>45306.0</v>
      </c>
      <c r="F240" s="6" t="s">
        <v>1329</v>
      </c>
      <c r="G240" s="8" t="s">
        <v>1330</v>
      </c>
      <c r="H240" s="9" t="s">
        <v>1331</v>
      </c>
      <c r="I240" s="16">
        <v>11.0</v>
      </c>
      <c r="J240" s="10">
        <v>188.0</v>
      </c>
      <c r="K240" s="9" t="s">
        <v>1332</v>
      </c>
      <c r="L240" s="9" t="s">
        <v>1333</v>
      </c>
      <c r="M240" s="9" t="s">
        <v>1334</v>
      </c>
      <c r="N240" s="11">
        <v>2024.0</v>
      </c>
    </row>
    <row r="241" ht="15.75" customHeight="1">
      <c r="A241" s="5" t="s">
        <v>15</v>
      </c>
      <c r="B241" s="6" t="str">
        <f t="array" ref="B241">XLOOKUP(C241,city_to_region!$B$5:$B$96,city_to_region!$A$5:$A$96)</f>
        <v>Карагандинская</v>
      </c>
      <c r="C241" s="6" t="s">
        <v>1320</v>
      </c>
      <c r="D241" s="6" t="s">
        <v>1335</v>
      </c>
      <c r="E241" s="7">
        <v>45306.0</v>
      </c>
      <c r="F241" s="6" t="s">
        <v>1336</v>
      </c>
      <c r="G241" s="8" t="s">
        <v>1337</v>
      </c>
      <c r="H241" s="9" t="s">
        <v>1338</v>
      </c>
      <c r="I241" s="9">
        <v>12.3</v>
      </c>
      <c r="J241" s="10">
        <v>110.0</v>
      </c>
      <c r="K241" s="9" t="s">
        <v>1339</v>
      </c>
      <c r="L241" s="9" t="s">
        <v>1340</v>
      </c>
      <c r="M241" s="9" t="s">
        <v>1341</v>
      </c>
      <c r="N241" s="11">
        <v>2024.0</v>
      </c>
    </row>
    <row r="242" ht="15.75" customHeight="1">
      <c r="A242" s="5" t="s">
        <v>15</v>
      </c>
      <c r="B242" s="6" t="str">
        <f t="array" ref="B242">XLOOKUP(C242,city_to_region!$B$5:$B$96,city_to_region!$A$5:$A$96)</f>
        <v>Карагандинская</v>
      </c>
      <c r="C242" s="6" t="s">
        <v>1320</v>
      </c>
      <c r="D242" s="6" t="s">
        <v>1335</v>
      </c>
      <c r="E242" s="7">
        <v>45306.0</v>
      </c>
      <c r="F242" s="6" t="s">
        <v>1342</v>
      </c>
      <c r="G242" s="8" t="s">
        <v>1343</v>
      </c>
      <c r="H242" s="9" t="s">
        <v>1344</v>
      </c>
      <c r="I242" s="9">
        <v>12.4</v>
      </c>
      <c r="J242" s="10">
        <v>159.0</v>
      </c>
      <c r="K242" s="9" t="s">
        <v>1345</v>
      </c>
      <c r="L242" s="9" t="s">
        <v>1346</v>
      </c>
      <c r="M242" s="9" t="s">
        <v>1347</v>
      </c>
      <c r="N242" s="11">
        <v>2024.0</v>
      </c>
    </row>
    <row r="243" ht="15.75" customHeight="1">
      <c r="A243" s="5" t="s">
        <v>15</v>
      </c>
      <c r="B243" s="6" t="str">
        <f t="array" ref="B243">XLOOKUP(C243,city_to_region!$B$5:$B$96,city_to_region!$A$5:$A$96)</f>
        <v>Карагандинская</v>
      </c>
      <c r="C243" s="6" t="s">
        <v>1320</v>
      </c>
      <c r="D243" s="6" t="s">
        <v>1335</v>
      </c>
      <c r="E243" s="7">
        <v>45306.0</v>
      </c>
      <c r="F243" s="6" t="s">
        <v>1348</v>
      </c>
      <c r="G243" s="8" t="s">
        <v>1349</v>
      </c>
      <c r="H243" s="9" t="s">
        <v>1350</v>
      </c>
      <c r="I243" s="9">
        <v>12.4</v>
      </c>
      <c r="J243" s="10">
        <v>159.0</v>
      </c>
      <c r="K243" s="9" t="s">
        <v>1351</v>
      </c>
      <c r="L243" s="9" t="s">
        <v>1352</v>
      </c>
      <c r="M243" s="9" t="s">
        <v>1353</v>
      </c>
      <c r="N243" s="11">
        <v>2024.0</v>
      </c>
    </row>
    <row r="244" ht="15.75" customHeight="1">
      <c r="A244" s="5" t="s">
        <v>15</v>
      </c>
      <c r="B244" s="6" t="str">
        <f t="array" ref="B244">XLOOKUP(C244,city_to_region!$B$5:$B$96,city_to_region!$A$5:$A$96)</f>
        <v>Карагандинская</v>
      </c>
      <c r="C244" s="6" t="s">
        <v>1320</v>
      </c>
      <c r="D244" s="6" t="s">
        <v>1335</v>
      </c>
      <c r="E244" s="7">
        <v>45306.0</v>
      </c>
      <c r="F244" s="6" t="s">
        <v>1354</v>
      </c>
      <c r="G244" s="8" t="s">
        <v>1355</v>
      </c>
      <c r="H244" s="9" t="s">
        <v>1356</v>
      </c>
      <c r="I244" s="9">
        <v>12.6</v>
      </c>
      <c r="J244" s="10">
        <v>166.0</v>
      </c>
      <c r="K244" s="9" t="s">
        <v>1357</v>
      </c>
      <c r="L244" s="9" t="s">
        <v>1358</v>
      </c>
      <c r="M244" s="9" t="s">
        <v>1359</v>
      </c>
      <c r="N244" s="11">
        <v>2024.0</v>
      </c>
    </row>
    <row r="245" ht="15.75" customHeight="1">
      <c r="A245" s="5" t="s">
        <v>15</v>
      </c>
      <c r="B245" s="6" t="str">
        <f t="array" ref="B245">XLOOKUP(C245,city_to_region!$B$5:$B$96,city_to_region!$A$5:$A$96)</f>
        <v>Карагандинская</v>
      </c>
      <c r="C245" s="6" t="s">
        <v>1320</v>
      </c>
      <c r="D245" s="6" t="s">
        <v>1335</v>
      </c>
      <c r="E245" s="7">
        <v>45306.0</v>
      </c>
      <c r="F245" s="6" t="s">
        <v>1360</v>
      </c>
      <c r="G245" s="8" t="s">
        <v>1361</v>
      </c>
      <c r="H245" s="9" t="s">
        <v>1362</v>
      </c>
      <c r="I245" s="16">
        <v>18.0</v>
      </c>
      <c r="J245" s="10">
        <v>143.0</v>
      </c>
      <c r="K245" s="9" t="s">
        <v>1363</v>
      </c>
      <c r="L245" s="9" t="s">
        <v>1364</v>
      </c>
      <c r="M245" s="9" t="s">
        <v>1365</v>
      </c>
      <c r="N245" s="11">
        <v>2024.0</v>
      </c>
    </row>
    <row r="246" ht="15.75" customHeight="1">
      <c r="A246" s="5" t="s">
        <v>15</v>
      </c>
      <c r="B246" s="6" t="str">
        <f t="array" ref="B246">XLOOKUP(C246,city_to_region!$B$5:$B$96,city_to_region!$A$5:$A$96)</f>
        <v>Карагандинская</v>
      </c>
      <c r="C246" s="6" t="s">
        <v>1320</v>
      </c>
      <c r="D246" s="6" t="s">
        <v>1335</v>
      </c>
      <c r="E246" s="7">
        <v>45306.0</v>
      </c>
      <c r="F246" s="6" t="s">
        <v>1366</v>
      </c>
      <c r="G246" s="8" t="s">
        <v>1367</v>
      </c>
      <c r="H246" s="9" t="s">
        <v>1368</v>
      </c>
      <c r="I246" s="9">
        <v>15.2</v>
      </c>
      <c r="J246" s="10">
        <v>169.0</v>
      </c>
      <c r="K246" s="9" t="s">
        <v>1369</v>
      </c>
      <c r="L246" s="9" t="s">
        <v>1370</v>
      </c>
      <c r="M246" s="9" t="s">
        <v>1371</v>
      </c>
      <c r="N246" s="11">
        <v>2024.0</v>
      </c>
    </row>
    <row r="247" ht="15.75" customHeight="1">
      <c r="A247" s="5" t="s">
        <v>15</v>
      </c>
      <c r="B247" s="6" t="str">
        <f t="array" ref="B247">XLOOKUP(C247,city_to_region!$B$5:$B$96,city_to_region!$A$5:$A$96)</f>
        <v>Карагандинская</v>
      </c>
      <c r="C247" s="6" t="s">
        <v>1320</v>
      </c>
      <c r="D247" s="6" t="s">
        <v>1335</v>
      </c>
      <c r="E247" s="7">
        <v>45306.0</v>
      </c>
      <c r="F247" s="6" t="s">
        <v>1372</v>
      </c>
      <c r="G247" s="8" t="s">
        <v>1373</v>
      </c>
      <c r="H247" s="9" t="s">
        <v>1374</v>
      </c>
      <c r="I247" s="9">
        <v>10.2</v>
      </c>
      <c r="J247" s="10">
        <v>145.0</v>
      </c>
      <c r="K247" s="9" t="s">
        <v>1375</v>
      </c>
      <c r="L247" s="9" t="s">
        <v>1376</v>
      </c>
      <c r="M247" s="9" t="s">
        <v>1377</v>
      </c>
      <c r="N247" s="11">
        <v>2024.0</v>
      </c>
    </row>
    <row r="248" ht="15.75" customHeight="1">
      <c r="A248" s="5" t="s">
        <v>15</v>
      </c>
      <c r="B248" s="6" t="str">
        <f t="array" ref="B248">XLOOKUP(C248,city_to_region!$B$5:$B$96,city_to_region!$A$5:$A$96)</f>
        <v>Карагандинская</v>
      </c>
      <c r="C248" s="6" t="s">
        <v>1320</v>
      </c>
      <c r="D248" s="6" t="s">
        <v>1335</v>
      </c>
      <c r="E248" s="7">
        <v>45306.0</v>
      </c>
      <c r="F248" s="6" t="s">
        <v>1378</v>
      </c>
      <c r="G248" s="8" t="s">
        <v>1379</v>
      </c>
      <c r="H248" s="9" t="s">
        <v>1380</v>
      </c>
      <c r="I248" s="9">
        <v>14.3</v>
      </c>
      <c r="J248" s="10">
        <v>179.0</v>
      </c>
      <c r="K248" s="9" t="s">
        <v>1381</v>
      </c>
      <c r="L248" s="9" t="s">
        <v>1382</v>
      </c>
      <c r="M248" s="9" t="s">
        <v>1383</v>
      </c>
      <c r="N248" s="11">
        <v>2024.0</v>
      </c>
    </row>
    <row r="249" ht="15.75" customHeight="1">
      <c r="A249" s="5" t="s">
        <v>15</v>
      </c>
      <c r="B249" s="6" t="str">
        <f t="array" ref="B249">XLOOKUP(C249,city_to_region!$B$5:$B$96,city_to_region!$A$5:$A$96)</f>
        <v>Карагандинская</v>
      </c>
      <c r="C249" s="6" t="s">
        <v>1320</v>
      </c>
      <c r="D249" s="6" t="s">
        <v>1384</v>
      </c>
      <c r="E249" s="7">
        <v>45307.0</v>
      </c>
      <c r="F249" s="6" t="s">
        <v>1385</v>
      </c>
      <c r="G249" s="8" t="s">
        <v>1386</v>
      </c>
      <c r="H249" s="9" t="s">
        <v>1387</v>
      </c>
      <c r="I249" s="9">
        <v>26.6</v>
      </c>
      <c r="J249" s="10">
        <v>94.0</v>
      </c>
      <c r="K249" s="9" t="s">
        <v>1388</v>
      </c>
      <c r="L249" s="9" t="s">
        <v>1389</v>
      </c>
      <c r="M249" s="9" t="s">
        <v>1390</v>
      </c>
      <c r="N249" s="11">
        <v>2024.0</v>
      </c>
    </row>
    <row r="250" ht="15.75" customHeight="1">
      <c r="A250" s="5" t="s">
        <v>15</v>
      </c>
      <c r="B250" s="6" t="str">
        <f t="array" ref="B250">XLOOKUP(C250,city_to_region!$B$5:$B$96,city_to_region!$A$5:$A$96)</f>
        <v>Карагандинская</v>
      </c>
      <c r="C250" s="6" t="s">
        <v>1320</v>
      </c>
      <c r="D250" s="6" t="s">
        <v>1391</v>
      </c>
      <c r="E250" s="7">
        <v>45307.0</v>
      </c>
      <c r="F250" s="6" t="s">
        <v>1392</v>
      </c>
      <c r="G250" s="8" t="s">
        <v>1393</v>
      </c>
      <c r="H250" s="9" t="s">
        <v>1394</v>
      </c>
      <c r="I250" s="9">
        <v>14.2</v>
      </c>
      <c r="J250" s="10">
        <v>94.0</v>
      </c>
      <c r="K250" s="9" t="s">
        <v>1395</v>
      </c>
      <c r="L250" s="9" t="s">
        <v>1396</v>
      </c>
      <c r="M250" s="9" t="s">
        <v>1397</v>
      </c>
      <c r="N250" s="11">
        <v>2024.0</v>
      </c>
    </row>
    <row r="251" ht="15.75" customHeight="1">
      <c r="A251" s="5" t="s">
        <v>15</v>
      </c>
      <c r="B251" s="6" t="str">
        <f t="array" ref="B251">XLOOKUP(C251,city_to_region!$B$5:$B$96,city_to_region!$A$5:$A$96)</f>
        <v>Карагандинская</v>
      </c>
      <c r="C251" s="6" t="s">
        <v>1320</v>
      </c>
      <c r="D251" s="6" t="s">
        <v>1398</v>
      </c>
      <c r="E251" s="7">
        <v>45307.0</v>
      </c>
      <c r="F251" s="6" t="s">
        <v>1399</v>
      </c>
      <c r="G251" s="8" t="s">
        <v>1400</v>
      </c>
      <c r="H251" s="9" t="s">
        <v>1401</v>
      </c>
      <c r="I251" s="9">
        <v>19.2</v>
      </c>
      <c r="J251" s="10">
        <v>149.0</v>
      </c>
      <c r="K251" s="9" t="s">
        <v>1402</v>
      </c>
      <c r="L251" s="9" t="s">
        <v>1403</v>
      </c>
      <c r="M251" s="9" t="s">
        <v>1404</v>
      </c>
      <c r="N251" s="11">
        <v>2024.0</v>
      </c>
    </row>
    <row r="252" ht="15.75" customHeight="1">
      <c r="A252" s="5" t="s">
        <v>15</v>
      </c>
      <c r="B252" s="6" t="str">
        <f t="array" ref="B252">XLOOKUP(C252,city_to_region!$B$5:$B$96,city_to_region!$A$5:$A$96)</f>
        <v>Карагандинская</v>
      </c>
      <c r="C252" s="6" t="s">
        <v>1320</v>
      </c>
      <c r="D252" s="6" t="s">
        <v>1405</v>
      </c>
      <c r="E252" s="7">
        <v>45307.0</v>
      </c>
      <c r="F252" s="6" t="s">
        <v>1406</v>
      </c>
      <c r="G252" s="8" t="s">
        <v>1407</v>
      </c>
      <c r="H252" s="9" t="s">
        <v>1408</v>
      </c>
      <c r="I252" s="9">
        <v>14.9</v>
      </c>
      <c r="J252" s="10">
        <v>140.0</v>
      </c>
      <c r="K252" s="9" t="s">
        <v>1409</v>
      </c>
      <c r="L252" s="9" t="s">
        <v>1410</v>
      </c>
      <c r="M252" s="9" t="s">
        <v>1411</v>
      </c>
      <c r="N252" s="11">
        <v>2024.0</v>
      </c>
    </row>
    <row r="253" ht="15.75" customHeight="1">
      <c r="A253" s="5" t="s">
        <v>15</v>
      </c>
      <c r="B253" s="6" t="str">
        <f t="array" ref="B253">XLOOKUP(C253,city_to_region!$B$5:$B$96,city_to_region!$A$5:$A$96)</f>
        <v>Карагандинская</v>
      </c>
      <c r="C253" s="6" t="s">
        <v>1320</v>
      </c>
      <c r="D253" s="6" t="s">
        <v>1335</v>
      </c>
      <c r="E253" s="7">
        <v>45307.0</v>
      </c>
      <c r="F253" s="6" t="s">
        <v>1412</v>
      </c>
      <c r="G253" s="8" t="s">
        <v>1413</v>
      </c>
      <c r="H253" s="9" t="s">
        <v>1414</v>
      </c>
      <c r="I253" s="9">
        <v>17.4</v>
      </c>
      <c r="J253" s="10">
        <v>126.0</v>
      </c>
      <c r="K253" s="9" t="s">
        <v>1415</v>
      </c>
      <c r="L253" s="9" t="s">
        <v>1416</v>
      </c>
      <c r="M253" s="9" t="s">
        <v>1417</v>
      </c>
      <c r="N253" s="11">
        <v>2024.0</v>
      </c>
    </row>
    <row r="254" ht="15.75" customHeight="1">
      <c r="A254" s="5" t="s">
        <v>15</v>
      </c>
      <c r="B254" s="6" t="str">
        <f t="array" ref="B254">XLOOKUP(C254,city_to_region!$B$5:$B$96,city_to_region!$A$5:$A$96)</f>
        <v>Карагандинская</v>
      </c>
      <c r="C254" s="6" t="s">
        <v>1320</v>
      </c>
      <c r="D254" s="6" t="s">
        <v>1335</v>
      </c>
      <c r="E254" s="7">
        <v>45307.0</v>
      </c>
      <c r="F254" s="6" t="s">
        <v>1418</v>
      </c>
      <c r="G254" s="8" t="s">
        <v>1419</v>
      </c>
      <c r="H254" s="9" t="s">
        <v>1420</v>
      </c>
      <c r="I254" s="9">
        <v>17.6</v>
      </c>
      <c r="J254" s="10">
        <v>158.0</v>
      </c>
      <c r="K254" s="9" t="s">
        <v>1421</v>
      </c>
      <c r="L254" s="9" t="s">
        <v>1422</v>
      </c>
      <c r="M254" s="9" t="s">
        <v>1423</v>
      </c>
      <c r="N254" s="11">
        <v>2024.0</v>
      </c>
    </row>
    <row r="255" ht="15.75" customHeight="1">
      <c r="A255" s="5" t="s">
        <v>15</v>
      </c>
      <c r="B255" s="6" t="str">
        <f t="array" ref="B255">XLOOKUP(C255,city_to_region!$B$5:$B$96,city_to_region!$A$5:$A$96)</f>
        <v>Карагандинская</v>
      </c>
      <c r="C255" s="6" t="s">
        <v>1320</v>
      </c>
      <c r="D255" s="6" t="s">
        <v>1335</v>
      </c>
      <c r="E255" s="7">
        <v>45307.0</v>
      </c>
      <c r="F255" s="6" t="s">
        <v>1424</v>
      </c>
      <c r="G255" s="8" t="s">
        <v>1425</v>
      </c>
      <c r="H255" s="9" t="s">
        <v>1426</v>
      </c>
      <c r="I255" s="9">
        <v>16.6</v>
      </c>
      <c r="J255" s="10">
        <v>160.0</v>
      </c>
      <c r="K255" s="9" t="s">
        <v>1427</v>
      </c>
      <c r="L255" s="9" t="s">
        <v>1428</v>
      </c>
      <c r="M255" s="9" t="s">
        <v>1429</v>
      </c>
      <c r="N255" s="11">
        <v>2024.0</v>
      </c>
    </row>
    <row r="256" ht="15.75" customHeight="1">
      <c r="A256" s="5" t="s">
        <v>15</v>
      </c>
      <c r="B256" s="6" t="str">
        <f t="array" ref="B256">XLOOKUP(C256,city_to_region!$B$5:$B$96,city_to_region!$A$5:$A$96)</f>
        <v>Карагандинская</v>
      </c>
      <c r="C256" s="6" t="s">
        <v>1320</v>
      </c>
      <c r="D256" s="6" t="s">
        <v>1335</v>
      </c>
      <c r="E256" s="7">
        <v>45307.0</v>
      </c>
      <c r="F256" s="6" t="s">
        <v>1430</v>
      </c>
      <c r="G256" s="8" t="s">
        <v>1431</v>
      </c>
      <c r="H256" s="9" t="s">
        <v>1432</v>
      </c>
      <c r="I256" s="16">
        <v>14.0</v>
      </c>
      <c r="J256" s="10">
        <v>136.0</v>
      </c>
      <c r="K256" s="9" t="s">
        <v>1433</v>
      </c>
      <c r="L256" s="9" t="s">
        <v>1434</v>
      </c>
      <c r="M256" s="9" t="s">
        <v>1435</v>
      </c>
      <c r="N256" s="11">
        <v>2024.0</v>
      </c>
    </row>
    <row r="257" ht="15.75" customHeight="1">
      <c r="A257" s="5" t="s">
        <v>15</v>
      </c>
      <c r="B257" s="6" t="str">
        <f t="array" ref="B257">XLOOKUP(C257,city_to_region!$B$5:$B$96,city_to_region!$A$5:$A$96)</f>
        <v>Карагандинская</v>
      </c>
      <c r="C257" s="6" t="s">
        <v>1320</v>
      </c>
      <c r="D257" s="6" t="s">
        <v>1335</v>
      </c>
      <c r="E257" s="7">
        <v>45307.0</v>
      </c>
      <c r="F257" s="6" t="s">
        <v>1436</v>
      </c>
      <c r="G257" s="8" t="s">
        <v>1437</v>
      </c>
      <c r="H257" s="9" t="s">
        <v>1438</v>
      </c>
      <c r="I257" s="9">
        <v>13.7</v>
      </c>
      <c r="J257" s="10">
        <v>133.0</v>
      </c>
      <c r="K257" s="9" t="s">
        <v>1439</v>
      </c>
      <c r="L257" s="9" t="s">
        <v>1440</v>
      </c>
      <c r="M257" s="9" t="s">
        <v>1441</v>
      </c>
      <c r="N257" s="11">
        <v>2024.0</v>
      </c>
    </row>
    <row r="258" ht="15.75" customHeight="1">
      <c r="A258" s="5" t="s">
        <v>15</v>
      </c>
      <c r="B258" s="6" t="str">
        <f t="array" ref="B258">XLOOKUP(C258,city_to_region!$B$5:$B$96,city_to_region!$A$5:$A$96)</f>
        <v>Карагандинская</v>
      </c>
      <c r="C258" s="6" t="s">
        <v>1320</v>
      </c>
      <c r="D258" s="6" t="s">
        <v>1335</v>
      </c>
      <c r="E258" s="7">
        <v>45307.0</v>
      </c>
      <c r="F258" s="6" t="s">
        <v>1442</v>
      </c>
      <c r="G258" s="8" t="s">
        <v>1443</v>
      </c>
      <c r="H258" s="9" t="s">
        <v>1444</v>
      </c>
      <c r="I258" s="9">
        <v>12.7</v>
      </c>
      <c r="J258" s="10">
        <v>148.0</v>
      </c>
      <c r="K258" s="9" t="s">
        <v>1445</v>
      </c>
      <c r="L258" s="9" t="s">
        <v>1446</v>
      </c>
      <c r="M258" s="9" t="s">
        <v>1447</v>
      </c>
      <c r="N258" s="11">
        <v>2024.0</v>
      </c>
    </row>
    <row r="259" ht="15.75" customHeight="1">
      <c r="A259" s="5" t="s">
        <v>15</v>
      </c>
      <c r="B259" s="6" t="str">
        <f t="array" ref="B259">XLOOKUP(C259,city_to_region!$B$5:$B$96,city_to_region!$A$5:$A$96)</f>
        <v>Карагандинская</v>
      </c>
      <c r="C259" s="6" t="s">
        <v>1320</v>
      </c>
      <c r="D259" s="6" t="s">
        <v>1335</v>
      </c>
      <c r="E259" s="7">
        <v>45307.0</v>
      </c>
      <c r="F259" s="6" t="s">
        <v>1448</v>
      </c>
      <c r="G259" s="8" t="s">
        <v>1449</v>
      </c>
      <c r="H259" s="9" t="s">
        <v>1450</v>
      </c>
      <c r="I259" s="16">
        <v>12.0</v>
      </c>
      <c r="J259" s="10">
        <v>139.0</v>
      </c>
      <c r="K259" s="9" t="s">
        <v>1451</v>
      </c>
      <c r="L259" s="9" t="s">
        <v>1452</v>
      </c>
      <c r="M259" s="9" t="s">
        <v>1453</v>
      </c>
      <c r="N259" s="11">
        <v>2024.0</v>
      </c>
    </row>
    <row r="260" ht="15.75" customHeight="1">
      <c r="A260" s="5" t="s">
        <v>15</v>
      </c>
      <c r="B260" s="6" t="str">
        <f t="array" ref="B260">XLOOKUP(C260,city_to_region!$B$5:$B$96,city_to_region!$A$5:$A$96)</f>
        <v>Карагандинская</v>
      </c>
      <c r="C260" s="6" t="s">
        <v>1320</v>
      </c>
      <c r="D260" s="6" t="s">
        <v>1335</v>
      </c>
      <c r="E260" s="7">
        <v>45307.0</v>
      </c>
      <c r="F260" s="6" t="s">
        <v>1454</v>
      </c>
      <c r="G260" s="8" t="s">
        <v>1455</v>
      </c>
      <c r="H260" s="9" t="s">
        <v>1456</v>
      </c>
      <c r="I260" s="9">
        <v>10.1</v>
      </c>
      <c r="J260" s="10">
        <v>154.0</v>
      </c>
      <c r="K260" s="9" t="s">
        <v>1457</v>
      </c>
      <c r="L260" s="9" t="s">
        <v>1458</v>
      </c>
      <c r="M260" s="9" t="s">
        <v>1459</v>
      </c>
      <c r="N260" s="11">
        <v>2024.0</v>
      </c>
    </row>
    <row r="261" ht="15.75" customHeight="1">
      <c r="A261" s="5" t="s">
        <v>15</v>
      </c>
      <c r="B261" s="6" t="str">
        <f t="array" ref="B261">XLOOKUP(C261,city_to_region!$B$5:$B$96,city_to_region!$A$5:$A$96)</f>
        <v>Карагандинская</v>
      </c>
      <c r="C261" s="6" t="s">
        <v>1320</v>
      </c>
      <c r="D261" s="6" t="s">
        <v>1335</v>
      </c>
      <c r="E261" s="7">
        <v>45307.0</v>
      </c>
      <c r="F261" s="6" t="s">
        <v>1460</v>
      </c>
      <c r="G261" s="8" t="s">
        <v>1461</v>
      </c>
      <c r="H261" s="9" t="s">
        <v>1462</v>
      </c>
      <c r="I261" s="9">
        <v>10.5</v>
      </c>
      <c r="J261" s="10">
        <v>145.0</v>
      </c>
      <c r="K261" s="9" t="s">
        <v>1463</v>
      </c>
      <c r="L261" s="9" t="s">
        <v>1464</v>
      </c>
      <c r="M261" s="9" t="s">
        <v>1465</v>
      </c>
      <c r="N261" s="11">
        <v>2024.0</v>
      </c>
    </row>
    <row r="262" ht="15.75" customHeight="1">
      <c r="A262" s="5" t="s">
        <v>15</v>
      </c>
      <c r="B262" s="6" t="str">
        <f t="array" ref="B262">XLOOKUP(C262,city_to_region!$B$5:$B$96,city_to_region!$A$5:$A$96)</f>
        <v>Карагандинская</v>
      </c>
      <c r="C262" s="6" t="s">
        <v>1320</v>
      </c>
      <c r="D262" s="6" t="s">
        <v>1466</v>
      </c>
      <c r="E262" s="7">
        <v>45307.0</v>
      </c>
      <c r="F262" s="6" t="s">
        <v>1467</v>
      </c>
      <c r="G262" s="8" t="s">
        <v>1468</v>
      </c>
      <c r="H262" s="9" t="s">
        <v>1469</v>
      </c>
      <c r="I262" s="9">
        <v>10.3</v>
      </c>
      <c r="J262" s="10">
        <v>149.0</v>
      </c>
      <c r="K262" s="9" t="s">
        <v>1470</v>
      </c>
      <c r="L262" s="9" t="s">
        <v>1471</v>
      </c>
      <c r="M262" s="9" t="s">
        <v>1472</v>
      </c>
      <c r="N262" s="11">
        <v>2024.0</v>
      </c>
    </row>
    <row r="263" ht="15.75" customHeight="1">
      <c r="A263" s="5" t="s">
        <v>15</v>
      </c>
      <c r="B263" s="6" t="str">
        <f t="array" ref="B263">XLOOKUP(C263,city_to_region!$B$5:$B$96,city_to_region!$A$5:$A$96)</f>
        <v>Карагандинская</v>
      </c>
      <c r="C263" s="6" t="s">
        <v>1320</v>
      </c>
      <c r="D263" s="6" t="s">
        <v>1473</v>
      </c>
      <c r="E263" s="7">
        <v>45310.0</v>
      </c>
      <c r="F263" s="6" t="s">
        <v>1474</v>
      </c>
      <c r="G263" s="6" t="s">
        <v>1475</v>
      </c>
      <c r="H263" s="9" t="s">
        <v>1476</v>
      </c>
      <c r="I263" s="9">
        <v>10.3</v>
      </c>
      <c r="J263" s="10">
        <v>109.0</v>
      </c>
      <c r="K263" s="9" t="s">
        <v>1477</v>
      </c>
      <c r="L263" s="9" t="s">
        <v>1478</v>
      </c>
      <c r="M263" s="9" t="s">
        <v>1479</v>
      </c>
      <c r="N263" s="11">
        <v>2024.0</v>
      </c>
    </row>
    <row r="264" ht="15.75" customHeight="1">
      <c r="A264" s="5" t="s">
        <v>15</v>
      </c>
      <c r="B264" s="6" t="str">
        <f t="array" ref="B264">XLOOKUP(C264,city_to_region!$B$5:$B$96,city_to_region!$A$5:$A$96)</f>
        <v>Карагандинская</v>
      </c>
      <c r="C264" s="6" t="s">
        <v>1320</v>
      </c>
      <c r="D264" s="6" t="s">
        <v>1480</v>
      </c>
      <c r="E264" s="7">
        <v>45310.0</v>
      </c>
      <c r="F264" s="6" t="s">
        <v>1481</v>
      </c>
      <c r="G264" s="6" t="s">
        <v>1482</v>
      </c>
      <c r="H264" s="9" t="s">
        <v>1483</v>
      </c>
      <c r="I264" s="9">
        <v>10.4</v>
      </c>
      <c r="J264" s="10">
        <v>106.0</v>
      </c>
      <c r="K264" s="9" t="s">
        <v>1484</v>
      </c>
      <c r="L264" s="9" t="s">
        <v>1485</v>
      </c>
      <c r="M264" s="9" t="s">
        <v>1486</v>
      </c>
      <c r="N264" s="11">
        <v>2024.0</v>
      </c>
    </row>
    <row r="265" ht="15.75" customHeight="1">
      <c r="A265" s="5" t="s">
        <v>15</v>
      </c>
      <c r="B265" s="6" t="str">
        <f t="array" ref="B265">XLOOKUP(C265,city_to_region!$B$5:$B$96,city_to_region!$A$5:$A$96)</f>
        <v>Карагандинская</v>
      </c>
      <c r="C265" s="6" t="s">
        <v>1320</v>
      </c>
      <c r="D265" s="6" t="s">
        <v>1487</v>
      </c>
      <c r="E265" s="7">
        <v>45311.0</v>
      </c>
      <c r="F265" s="6" t="s">
        <v>1488</v>
      </c>
      <c r="G265" s="6" t="s">
        <v>1489</v>
      </c>
      <c r="H265" s="9" t="s">
        <v>1490</v>
      </c>
      <c r="I265" s="9">
        <v>10.6</v>
      </c>
      <c r="J265" s="10">
        <v>102.0</v>
      </c>
      <c r="K265" s="9" t="s">
        <v>1491</v>
      </c>
      <c r="L265" s="9" t="s">
        <v>1492</v>
      </c>
      <c r="M265" s="9" t="s">
        <v>1493</v>
      </c>
      <c r="N265" s="11">
        <v>2024.0</v>
      </c>
    </row>
    <row r="266" ht="15.75" customHeight="1">
      <c r="A266" s="5" t="s">
        <v>15</v>
      </c>
      <c r="B266" s="6" t="str">
        <f t="array" ref="B266">XLOOKUP(C266,city_to_region!$B$5:$B$96,city_to_region!$A$5:$A$96)</f>
        <v>Карагандинская</v>
      </c>
      <c r="C266" s="6" t="s">
        <v>1320</v>
      </c>
      <c r="D266" s="6" t="s">
        <v>1494</v>
      </c>
      <c r="E266" s="7">
        <v>45313.0</v>
      </c>
      <c r="F266" s="6" t="s">
        <v>1495</v>
      </c>
      <c r="G266" s="6" t="s">
        <v>1496</v>
      </c>
      <c r="H266" s="9" t="s">
        <v>1497</v>
      </c>
      <c r="I266" s="9">
        <v>14.1</v>
      </c>
      <c r="J266" s="10">
        <v>147.0</v>
      </c>
      <c r="K266" s="9" t="s">
        <v>1498</v>
      </c>
      <c r="L266" s="9" t="s">
        <v>1499</v>
      </c>
      <c r="M266" s="9" t="s">
        <v>1500</v>
      </c>
      <c r="N266" s="11">
        <v>2024.0</v>
      </c>
    </row>
    <row r="267" ht="15.75" customHeight="1">
      <c r="A267" s="5" t="s">
        <v>15</v>
      </c>
      <c r="B267" s="6" t="str">
        <f t="array" ref="B267">XLOOKUP(C267,city_to_region!$B$5:$B$96,city_to_region!$A$5:$A$96)</f>
        <v>Карагандинская</v>
      </c>
      <c r="C267" s="6" t="s">
        <v>1320</v>
      </c>
      <c r="D267" s="6" t="s">
        <v>1501</v>
      </c>
      <c r="E267" s="7">
        <v>45313.0</v>
      </c>
      <c r="F267" s="6" t="s">
        <v>1502</v>
      </c>
      <c r="G267" s="6" t="s">
        <v>1503</v>
      </c>
      <c r="H267" s="9" t="s">
        <v>1504</v>
      </c>
      <c r="I267" s="9">
        <v>10.7</v>
      </c>
      <c r="J267" s="10">
        <v>132.0</v>
      </c>
      <c r="K267" s="9" t="s">
        <v>1505</v>
      </c>
      <c r="L267" s="9" t="s">
        <v>1506</v>
      </c>
      <c r="M267" s="9" t="s">
        <v>1507</v>
      </c>
      <c r="N267" s="11">
        <v>2024.0</v>
      </c>
    </row>
    <row r="268" ht="15.75" customHeight="1">
      <c r="A268" s="5" t="s">
        <v>15</v>
      </c>
      <c r="B268" s="6" t="str">
        <f t="array" ref="B268">XLOOKUP(C268,city_to_region!$B$5:$B$96,city_to_region!$A$5:$A$96)</f>
        <v>Карагандинская</v>
      </c>
      <c r="C268" s="6" t="s">
        <v>1320</v>
      </c>
      <c r="D268" s="6" t="s">
        <v>1508</v>
      </c>
      <c r="E268" s="7">
        <v>45313.0</v>
      </c>
      <c r="F268" s="6" t="s">
        <v>1509</v>
      </c>
      <c r="G268" s="6" t="s">
        <v>1510</v>
      </c>
      <c r="H268" s="9" t="s">
        <v>1511</v>
      </c>
      <c r="I268" s="9">
        <v>10.7</v>
      </c>
      <c r="J268" s="10">
        <v>90.0</v>
      </c>
      <c r="K268" s="9" t="s">
        <v>1512</v>
      </c>
      <c r="L268" s="9" t="s">
        <v>1513</v>
      </c>
      <c r="M268" s="9" t="s">
        <v>1514</v>
      </c>
      <c r="N268" s="11">
        <v>2024.0</v>
      </c>
    </row>
    <row r="269" ht="15.75" customHeight="1">
      <c r="A269" s="5" t="s">
        <v>15</v>
      </c>
      <c r="B269" s="6" t="str">
        <f t="array" ref="B269">XLOOKUP(C269,city_to_region!$B$5:$B$96,city_to_region!$A$5:$A$96)</f>
        <v>Карагандинская</v>
      </c>
      <c r="C269" s="6" t="s">
        <v>1320</v>
      </c>
      <c r="D269" s="6" t="s">
        <v>1515</v>
      </c>
      <c r="E269" s="7">
        <v>45314.0</v>
      </c>
      <c r="F269" s="6" t="s">
        <v>1516</v>
      </c>
      <c r="G269" s="6" t="s">
        <v>1517</v>
      </c>
      <c r="H269" s="9" t="s">
        <v>1518</v>
      </c>
      <c r="I269" s="9">
        <v>11.7</v>
      </c>
      <c r="J269" s="10">
        <v>104.0</v>
      </c>
      <c r="K269" s="9" t="s">
        <v>1519</v>
      </c>
      <c r="L269" s="9" t="s">
        <v>1520</v>
      </c>
      <c r="M269" s="9" t="s">
        <v>1521</v>
      </c>
      <c r="N269" s="11">
        <v>2024.0</v>
      </c>
    </row>
    <row r="270" ht="15.75" customHeight="1">
      <c r="A270" s="5" t="s">
        <v>15</v>
      </c>
      <c r="B270" s="6" t="str">
        <f t="array" ref="B270">XLOOKUP(C270,city_to_region!$B$5:$B$96,city_to_region!$A$5:$A$96)</f>
        <v>Карагандинская</v>
      </c>
      <c r="C270" s="6" t="s">
        <v>1320</v>
      </c>
      <c r="D270" s="6" t="s">
        <v>1522</v>
      </c>
      <c r="E270" s="7">
        <v>45314.0</v>
      </c>
      <c r="F270" s="6" t="s">
        <v>1523</v>
      </c>
      <c r="G270" s="6" t="s">
        <v>1524</v>
      </c>
      <c r="H270" s="9" t="s">
        <v>1525</v>
      </c>
      <c r="I270" s="9">
        <v>10.6</v>
      </c>
      <c r="J270" s="10">
        <v>98.0</v>
      </c>
      <c r="K270" s="9" t="s">
        <v>1526</v>
      </c>
      <c r="L270" s="9" t="s">
        <v>1527</v>
      </c>
      <c r="M270" s="9" t="s">
        <v>1528</v>
      </c>
      <c r="N270" s="11">
        <v>2024.0</v>
      </c>
    </row>
    <row r="271" ht="15.75" customHeight="1">
      <c r="A271" s="5" t="s">
        <v>15</v>
      </c>
      <c r="B271" s="6" t="str">
        <f t="array" ref="B271">XLOOKUP(C271,city_to_region!$B$5:$B$96,city_to_region!$A$5:$A$96)</f>
        <v>Карагандинская</v>
      </c>
      <c r="C271" s="6" t="s">
        <v>1320</v>
      </c>
      <c r="D271" s="6" t="s">
        <v>1529</v>
      </c>
      <c r="E271" s="7">
        <v>45319.0</v>
      </c>
      <c r="F271" s="6" t="s">
        <v>1530</v>
      </c>
      <c r="G271" s="6" t="s">
        <v>1531</v>
      </c>
      <c r="H271" s="9" t="s">
        <v>1532</v>
      </c>
      <c r="I271" s="9">
        <v>18.5</v>
      </c>
      <c r="J271" s="10">
        <v>130.0</v>
      </c>
      <c r="K271" s="9" t="s">
        <v>1533</v>
      </c>
      <c r="L271" s="9" t="s">
        <v>1534</v>
      </c>
      <c r="M271" s="9" t="s">
        <v>1535</v>
      </c>
      <c r="N271" s="11">
        <v>2024.0</v>
      </c>
    </row>
    <row r="272" ht="15.75" customHeight="1">
      <c r="A272" s="5" t="s">
        <v>15</v>
      </c>
      <c r="B272" s="6" t="str">
        <f t="array" ref="B272">XLOOKUP(C272,city_to_region!$B$5:$B$96,city_to_region!$A$5:$A$96)</f>
        <v>Карагандинская</v>
      </c>
      <c r="C272" s="6" t="s">
        <v>1320</v>
      </c>
      <c r="D272" s="6" t="s">
        <v>1536</v>
      </c>
      <c r="E272" s="7">
        <v>45319.0</v>
      </c>
      <c r="F272" s="6" t="s">
        <v>1537</v>
      </c>
      <c r="G272" s="6" t="s">
        <v>1538</v>
      </c>
      <c r="H272" s="9" t="s">
        <v>1539</v>
      </c>
      <c r="I272" s="9">
        <v>16.0</v>
      </c>
      <c r="J272" s="10">
        <v>114.0</v>
      </c>
      <c r="K272" s="9" t="s">
        <v>1540</v>
      </c>
      <c r="L272" s="9" t="s">
        <v>1541</v>
      </c>
      <c r="M272" s="9" t="s">
        <v>1542</v>
      </c>
      <c r="N272" s="11">
        <v>2024.0</v>
      </c>
    </row>
    <row r="273" ht="15.75" customHeight="1">
      <c r="A273" s="5" t="s">
        <v>15</v>
      </c>
      <c r="B273" s="6" t="str">
        <f t="array" ref="B273">XLOOKUP(C273,city_to_region!$B$5:$B$96,city_to_region!$A$5:$A$96)</f>
        <v>Карагандинская</v>
      </c>
      <c r="C273" s="6" t="s">
        <v>1320</v>
      </c>
      <c r="D273" s="6" t="s">
        <v>1543</v>
      </c>
      <c r="E273" s="7">
        <v>45319.0</v>
      </c>
      <c r="F273" s="6" t="s">
        <v>1544</v>
      </c>
      <c r="G273" s="6" t="s">
        <v>1545</v>
      </c>
      <c r="H273" s="9" t="s">
        <v>1546</v>
      </c>
      <c r="I273" s="9">
        <v>13.5</v>
      </c>
      <c r="J273" s="10">
        <v>107.0</v>
      </c>
      <c r="K273" s="9" t="s">
        <v>1547</v>
      </c>
      <c r="L273" s="9" t="s">
        <v>1548</v>
      </c>
      <c r="M273" s="9" t="s">
        <v>1549</v>
      </c>
      <c r="N273" s="11">
        <v>2024.0</v>
      </c>
    </row>
    <row r="274" ht="15.75" customHeight="1">
      <c r="A274" s="5" t="s">
        <v>15</v>
      </c>
      <c r="B274" s="6" t="str">
        <f t="array" ref="B274">XLOOKUP(C274,city_to_region!$B$5:$B$96,city_to_region!$A$5:$A$96)</f>
        <v>Карагандинская</v>
      </c>
      <c r="C274" s="6" t="s">
        <v>1320</v>
      </c>
      <c r="D274" s="6" t="s">
        <v>1550</v>
      </c>
      <c r="E274" s="7">
        <v>45319.0</v>
      </c>
      <c r="F274" s="6" t="s">
        <v>1551</v>
      </c>
      <c r="G274" s="6" t="s">
        <v>1552</v>
      </c>
      <c r="H274" s="9" t="s">
        <v>1553</v>
      </c>
      <c r="I274" s="9">
        <v>16.0</v>
      </c>
      <c r="J274" s="10">
        <v>150.0</v>
      </c>
      <c r="K274" s="9" t="s">
        <v>1554</v>
      </c>
      <c r="L274" s="9" t="s">
        <v>1555</v>
      </c>
      <c r="M274" s="9" t="s">
        <v>1556</v>
      </c>
      <c r="N274" s="11">
        <v>2024.0</v>
      </c>
    </row>
    <row r="275" ht="15.75" customHeight="1">
      <c r="A275" s="5" t="s">
        <v>15</v>
      </c>
      <c r="B275" s="6" t="str">
        <f t="array" ref="B275">XLOOKUP(C275,city_to_region!$B$5:$B$96,city_to_region!$A$5:$A$96)</f>
        <v>Карагандинская</v>
      </c>
      <c r="C275" s="6" t="s">
        <v>1320</v>
      </c>
      <c r="D275" s="6" t="s">
        <v>1557</v>
      </c>
      <c r="E275" s="7">
        <v>45319.0</v>
      </c>
      <c r="F275" s="6" t="s">
        <v>1558</v>
      </c>
      <c r="G275" s="6" t="s">
        <v>1559</v>
      </c>
      <c r="H275" s="9" t="s">
        <v>1560</v>
      </c>
      <c r="I275" s="9">
        <v>13.1</v>
      </c>
      <c r="J275" s="10">
        <v>112.0</v>
      </c>
      <c r="K275" s="9" t="s">
        <v>1561</v>
      </c>
      <c r="L275" s="9" t="s">
        <v>1562</v>
      </c>
      <c r="M275" s="9" t="s">
        <v>1563</v>
      </c>
      <c r="N275" s="11">
        <v>2024.0</v>
      </c>
    </row>
    <row r="276" ht="15.75" customHeight="1">
      <c r="A276" s="5" t="s">
        <v>15</v>
      </c>
      <c r="B276" s="6" t="str">
        <f t="array" ref="B276">XLOOKUP(C276,city_to_region!$B$5:$B$96,city_to_region!$A$5:$A$96)</f>
        <v>Карагандинская</v>
      </c>
      <c r="C276" s="6" t="s">
        <v>1320</v>
      </c>
      <c r="D276" s="6" t="s">
        <v>1557</v>
      </c>
      <c r="E276" s="7">
        <v>45319.0</v>
      </c>
      <c r="F276" s="6" t="s">
        <v>1564</v>
      </c>
      <c r="G276" s="6" t="s">
        <v>1565</v>
      </c>
      <c r="H276" s="9" t="s">
        <v>1566</v>
      </c>
      <c r="I276" s="9">
        <v>11.4</v>
      </c>
      <c r="J276" s="10">
        <v>128.0</v>
      </c>
      <c r="K276" s="9" t="s">
        <v>1567</v>
      </c>
      <c r="L276" s="9" t="s">
        <v>1568</v>
      </c>
      <c r="M276" s="9" t="s">
        <v>1569</v>
      </c>
      <c r="N276" s="11">
        <v>2024.0</v>
      </c>
    </row>
    <row r="277" ht="15.75" customHeight="1">
      <c r="A277" s="5" t="s">
        <v>15</v>
      </c>
      <c r="B277" s="6" t="str">
        <f t="array" ref="B277">XLOOKUP(C277,city_to_region!$B$5:$B$96,city_to_region!$A$5:$A$96)</f>
        <v>Карагандинская</v>
      </c>
      <c r="C277" s="6" t="s">
        <v>1320</v>
      </c>
      <c r="D277" s="6" t="s">
        <v>1557</v>
      </c>
      <c r="E277" s="7">
        <v>45319.0</v>
      </c>
      <c r="F277" s="6" t="s">
        <v>1570</v>
      </c>
      <c r="G277" s="6" t="s">
        <v>1571</v>
      </c>
      <c r="H277" s="9" t="s">
        <v>1572</v>
      </c>
      <c r="I277" s="9">
        <v>11.8</v>
      </c>
      <c r="J277" s="10">
        <v>128.0</v>
      </c>
      <c r="K277" s="9" t="s">
        <v>1573</v>
      </c>
      <c r="L277" s="9" t="s">
        <v>1574</v>
      </c>
      <c r="M277" s="9" t="s">
        <v>1575</v>
      </c>
      <c r="N277" s="11">
        <v>2024.0</v>
      </c>
    </row>
    <row r="278" ht="15.75" customHeight="1">
      <c r="A278" s="5" t="s">
        <v>15</v>
      </c>
      <c r="B278" s="6" t="str">
        <f t="array" ref="B278">XLOOKUP(C278,city_to_region!$B$5:$B$96,city_to_region!$A$5:$A$96)</f>
        <v>Карагандинская</v>
      </c>
      <c r="C278" s="6" t="s">
        <v>1320</v>
      </c>
      <c r="D278" s="6" t="s">
        <v>1557</v>
      </c>
      <c r="E278" s="7">
        <v>45320.0</v>
      </c>
      <c r="F278" s="6" t="s">
        <v>1576</v>
      </c>
      <c r="G278" s="6" t="s">
        <v>1577</v>
      </c>
      <c r="H278" s="9" t="s">
        <v>1578</v>
      </c>
      <c r="I278" s="9">
        <v>12.3</v>
      </c>
      <c r="J278" s="10">
        <v>82.0</v>
      </c>
      <c r="K278" s="9" t="s">
        <v>1579</v>
      </c>
      <c r="L278" s="9" t="s">
        <v>1580</v>
      </c>
      <c r="M278" s="9" t="s">
        <v>1581</v>
      </c>
      <c r="N278" s="11">
        <v>2024.0</v>
      </c>
    </row>
    <row r="279" ht="15.75" customHeight="1">
      <c r="A279" s="5" t="s">
        <v>15</v>
      </c>
      <c r="B279" s="6" t="str">
        <f t="array" ref="B279">XLOOKUP(C279,city_to_region!$B$5:$B$96,city_to_region!$A$5:$A$96)</f>
        <v>Карагандинская</v>
      </c>
      <c r="C279" s="6" t="s">
        <v>1320</v>
      </c>
      <c r="D279" s="6" t="s">
        <v>1557</v>
      </c>
      <c r="E279" s="7">
        <v>45320.0</v>
      </c>
      <c r="F279" s="6" t="s">
        <v>1582</v>
      </c>
      <c r="G279" s="6" t="s">
        <v>1583</v>
      </c>
      <c r="H279" s="9" t="s">
        <v>1584</v>
      </c>
      <c r="I279" s="9">
        <v>10.4</v>
      </c>
      <c r="J279" s="10">
        <v>118.0</v>
      </c>
      <c r="K279" s="9" t="s">
        <v>1585</v>
      </c>
      <c r="L279" s="9" t="s">
        <v>1586</v>
      </c>
      <c r="M279" s="9" t="s">
        <v>1587</v>
      </c>
      <c r="N279" s="11">
        <v>2024.0</v>
      </c>
    </row>
    <row r="280" ht="15.75" customHeight="1">
      <c r="A280" s="5" t="s">
        <v>15</v>
      </c>
      <c r="B280" s="6" t="str">
        <f t="array" ref="B280">XLOOKUP(C280,city_to_region!$B$5:$B$96,city_to_region!$A$5:$A$96)</f>
        <v>Карагандинская</v>
      </c>
      <c r="C280" s="6" t="s">
        <v>1320</v>
      </c>
      <c r="D280" s="6" t="s">
        <v>1557</v>
      </c>
      <c r="E280" s="7">
        <v>45320.0</v>
      </c>
      <c r="F280" s="6" t="s">
        <v>1588</v>
      </c>
      <c r="G280" s="6" t="s">
        <v>1589</v>
      </c>
      <c r="H280" s="9" t="s">
        <v>1590</v>
      </c>
      <c r="I280" s="9">
        <v>10.4</v>
      </c>
      <c r="J280" s="10">
        <v>100.0</v>
      </c>
      <c r="K280" s="9" t="s">
        <v>1591</v>
      </c>
      <c r="L280" s="9" t="s">
        <v>1592</v>
      </c>
      <c r="M280" s="9" t="s">
        <v>1593</v>
      </c>
      <c r="N280" s="11">
        <v>2024.0</v>
      </c>
    </row>
    <row r="281" ht="15.75" customHeight="1">
      <c r="A281" s="5" t="s">
        <v>15</v>
      </c>
      <c r="B281" s="6" t="str">
        <f t="array" ref="B281">XLOOKUP(C281,city_to_region!$B$5:$B$96,city_to_region!$A$5:$A$96)</f>
        <v>Карагандинская</v>
      </c>
      <c r="C281" s="6" t="s">
        <v>1320</v>
      </c>
      <c r="D281" s="6" t="s">
        <v>1594</v>
      </c>
      <c r="E281" s="7">
        <v>45320.0</v>
      </c>
      <c r="F281" s="6" t="s">
        <v>1595</v>
      </c>
      <c r="G281" s="6" t="s">
        <v>1596</v>
      </c>
      <c r="H281" s="9" t="s">
        <v>1597</v>
      </c>
      <c r="I281" s="9">
        <v>14.8</v>
      </c>
      <c r="J281" s="10">
        <v>111.0</v>
      </c>
      <c r="K281" s="9" t="s">
        <v>1598</v>
      </c>
      <c r="L281" s="9" t="s">
        <v>1599</v>
      </c>
      <c r="M281" s="9" t="s">
        <v>1600</v>
      </c>
      <c r="N281" s="11">
        <v>2024.0</v>
      </c>
    </row>
    <row r="282" ht="15.75" customHeight="1">
      <c r="A282" s="5" t="s">
        <v>15</v>
      </c>
      <c r="B282" s="6" t="str">
        <f t="array" ref="B282">XLOOKUP(C282,city_to_region!$B$5:$B$96,city_to_region!$A$5:$A$96)</f>
        <v>Карагандинская</v>
      </c>
      <c r="C282" s="6" t="s">
        <v>1320</v>
      </c>
      <c r="D282" s="6" t="s">
        <v>1594</v>
      </c>
      <c r="E282" s="7">
        <v>45320.0</v>
      </c>
      <c r="F282" s="6" t="s">
        <v>1601</v>
      </c>
      <c r="G282" s="6" t="s">
        <v>1602</v>
      </c>
      <c r="H282" s="9" t="s">
        <v>1603</v>
      </c>
      <c r="I282" s="9">
        <v>13.9</v>
      </c>
      <c r="J282" s="10">
        <v>106.0</v>
      </c>
      <c r="K282" s="9" t="s">
        <v>1604</v>
      </c>
      <c r="L282" s="9" t="s">
        <v>1605</v>
      </c>
      <c r="M282" s="9" t="s">
        <v>1606</v>
      </c>
      <c r="N282" s="11">
        <v>2024.0</v>
      </c>
    </row>
    <row r="283" ht="15.75" customHeight="1">
      <c r="A283" s="5" t="s">
        <v>15</v>
      </c>
      <c r="B283" s="6" t="str">
        <f t="array" ref="B283">XLOOKUP(C283,city_to_region!$B$5:$B$96,city_to_region!$A$5:$A$96)</f>
        <v>Карагандинская</v>
      </c>
      <c r="C283" s="6" t="s">
        <v>1320</v>
      </c>
      <c r="D283" s="6" t="s">
        <v>1594</v>
      </c>
      <c r="E283" s="7">
        <v>45320.0</v>
      </c>
      <c r="F283" s="6" t="s">
        <v>1607</v>
      </c>
      <c r="G283" s="6" t="s">
        <v>1608</v>
      </c>
      <c r="H283" s="9" t="s">
        <v>1609</v>
      </c>
      <c r="I283" s="9">
        <v>13.3</v>
      </c>
      <c r="J283" s="10">
        <v>97.0</v>
      </c>
      <c r="K283" s="9" t="s">
        <v>1610</v>
      </c>
      <c r="L283" s="9" t="s">
        <v>1611</v>
      </c>
      <c r="M283" s="9" t="s">
        <v>1612</v>
      </c>
      <c r="N283" s="11">
        <v>2024.0</v>
      </c>
    </row>
    <row r="284" ht="15.75" customHeight="1">
      <c r="A284" s="5" t="s">
        <v>15</v>
      </c>
      <c r="B284" s="6" t="str">
        <f t="array" ref="B284">XLOOKUP(C284,city_to_region!$B$5:$B$96,city_to_region!$A$5:$A$96)</f>
        <v>Карагандинская</v>
      </c>
      <c r="C284" s="6" t="s">
        <v>1320</v>
      </c>
      <c r="D284" s="6" t="s">
        <v>1594</v>
      </c>
      <c r="E284" s="7">
        <v>45320.0</v>
      </c>
      <c r="F284" s="6" t="s">
        <v>1613</v>
      </c>
      <c r="G284" s="6" t="s">
        <v>1614</v>
      </c>
      <c r="H284" s="9" t="s">
        <v>1615</v>
      </c>
      <c r="I284" s="9">
        <v>15.3</v>
      </c>
      <c r="J284" s="10">
        <v>59.0</v>
      </c>
      <c r="K284" s="9" t="s">
        <v>1616</v>
      </c>
      <c r="L284" s="9" t="s">
        <v>1617</v>
      </c>
      <c r="M284" s="9" t="s">
        <v>1618</v>
      </c>
      <c r="N284" s="11">
        <v>2024.0</v>
      </c>
    </row>
    <row r="285" ht="15.75" customHeight="1">
      <c r="A285" s="5" t="s">
        <v>15</v>
      </c>
      <c r="B285" s="6" t="str">
        <f t="array" ref="B285">XLOOKUP(C285,city_to_region!$B$5:$B$96,city_to_region!$A$5:$A$96)</f>
        <v>Карагандинская</v>
      </c>
      <c r="C285" s="6" t="s">
        <v>1320</v>
      </c>
      <c r="D285" s="6" t="s">
        <v>1594</v>
      </c>
      <c r="E285" s="7">
        <v>45320.0</v>
      </c>
      <c r="F285" s="6" t="s">
        <v>1619</v>
      </c>
      <c r="G285" s="6" t="s">
        <v>1620</v>
      </c>
      <c r="H285" s="9" t="s">
        <v>1621</v>
      </c>
      <c r="I285" s="9">
        <v>13.9</v>
      </c>
      <c r="J285" s="10">
        <v>71.0</v>
      </c>
      <c r="K285" s="9" t="s">
        <v>1622</v>
      </c>
      <c r="L285" s="9" t="s">
        <v>1623</v>
      </c>
      <c r="M285" s="9" t="s">
        <v>1624</v>
      </c>
      <c r="N285" s="11">
        <v>2024.0</v>
      </c>
    </row>
    <row r="286" ht="15.75" customHeight="1">
      <c r="A286" s="5" t="s">
        <v>15</v>
      </c>
      <c r="B286" s="6" t="str">
        <f t="array" ref="B286">XLOOKUP(C286,city_to_region!$B$5:$B$96,city_to_region!$A$5:$A$96)</f>
        <v>Карагандинская</v>
      </c>
      <c r="C286" s="6" t="s">
        <v>1320</v>
      </c>
      <c r="D286" s="6" t="s">
        <v>1594</v>
      </c>
      <c r="E286" s="7">
        <v>45320.0</v>
      </c>
      <c r="F286" s="6" t="s">
        <v>1625</v>
      </c>
      <c r="G286" s="6" t="s">
        <v>1626</v>
      </c>
      <c r="H286" s="9" t="s">
        <v>1627</v>
      </c>
      <c r="I286" s="16">
        <v>14.0</v>
      </c>
      <c r="J286" s="10">
        <v>142.0</v>
      </c>
      <c r="K286" s="9" t="s">
        <v>1628</v>
      </c>
      <c r="L286" s="9" t="s">
        <v>1629</v>
      </c>
      <c r="M286" s="9" t="s">
        <v>1630</v>
      </c>
      <c r="N286" s="11">
        <v>2024.0</v>
      </c>
    </row>
    <row r="287" ht="15.75" customHeight="1">
      <c r="A287" s="5" t="s">
        <v>15</v>
      </c>
      <c r="B287" s="6" t="str">
        <f t="array" ref="B287">XLOOKUP(C287,city_to_region!$B$5:$B$96,city_to_region!$A$5:$A$96)</f>
        <v>Карагандинская</v>
      </c>
      <c r="C287" s="6" t="s">
        <v>1320</v>
      </c>
      <c r="D287" s="6" t="s">
        <v>1631</v>
      </c>
      <c r="E287" s="7">
        <v>45321.0</v>
      </c>
      <c r="F287" s="6" t="s">
        <v>1632</v>
      </c>
      <c r="G287" s="6" t="s">
        <v>1633</v>
      </c>
      <c r="H287" s="9" t="s">
        <v>1634</v>
      </c>
      <c r="I287" s="9">
        <v>13.1</v>
      </c>
      <c r="J287" s="10">
        <v>148.0</v>
      </c>
      <c r="K287" s="9" t="s">
        <v>1635</v>
      </c>
      <c r="L287" s="9" t="s">
        <v>1636</v>
      </c>
      <c r="M287" s="9" t="s">
        <v>1637</v>
      </c>
      <c r="N287" s="11">
        <v>2024.0</v>
      </c>
    </row>
    <row r="288" ht="15.75" customHeight="1">
      <c r="A288" s="5" t="s">
        <v>15</v>
      </c>
      <c r="B288" s="6" t="str">
        <f t="array" ref="B288">XLOOKUP(C288,city_to_region!$B$5:$B$96,city_to_region!$A$5:$A$96)</f>
        <v>Карагандинская</v>
      </c>
      <c r="C288" s="6" t="s">
        <v>1320</v>
      </c>
      <c r="D288" s="8" t="s">
        <v>1638</v>
      </c>
      <c r="E288" s="7">
        <v>45340.0</v>
      </c>
      <c r="F288" s="6" t="s">
        <v>1639</v>
      </c>
      <c r="G288" s="6" t="s">
        <v>1640</v>
      </c>
      <c r="H288" s="9" t="s">
        <v>1641</v>
      </c>
      <c r="I288" s="9">
        <v>10.2</v>
      </c>
      <c r="J288" s="10">
        <v>130.0</v>
      </c>
      <c r="K288" s="9" t="s">
        <v>1642</v>
      </c>
      <c r="L288" s="9" t="s">
        <v>1643</v>
      </c>
      <c r="M288" s="9" t="s">
        <v>1644</v>
      </c>
      <c r="N288" s="11">
        <v>2024.0</v>
      </c>
    </row>
    <row r="289" ht="15.75" customHeight="1">
      <c r="A289" s="5" t="s">
        <v>15</v>
      </c>
      <c r="B289" s="6" t="str">
        <f t="array" ref="B289">XLOOKUP(C289,city_to_region!$B$5:$B$96,city_to_region!$A$5:$A$96)</f>
        <v>Карагандинская</v>
      </c>
      <c r="C289" s="6" t="s">
        <v>1320</v>
      </c>
      <c r="D289" s="6" t="s">
        <v>1557</v>
      </c>
      <c r="E289" s="7">
        <v>45340.0</v>
      </c>
      <c r="F289" s="6" t="s">
        <v>1645</v>
      </c>
      <c r="G289" s="6" t="s">
        <v>1646</v>
      </c>
      <c r="H289" s="9" t="s">
        <v>1647</v>
      </c>
      <c r="I289" s="9">
        <v>10.4</v>
      </c>
      <c r="J289" s="10">
        <v>103.0</v>
      </c>
      <c r="K289" s="9" t="s">
        <v>1648</v>
      </c>
      <c r="L289" s="9" t="s">
        <v>1649</v>
      </c>
      <c r="M289" s="9" t="s">
        <v>1650</v>
      </c>
      <c r="N289" s="11">
        <v>2024.0</v>
      </c>
    </row>
    <row r="290" ht="15.75" customHeight="1">
      <c r="A290" s="5" t="s">
        <v>15</v>
      </c>
      <c r="B290" s="6" t="str">
        <f t="array" ref="B290">XLOOKUP(C290,city_to_region!$B$5:$B$96,city_to_region!$A$5:$A$96)</f>
        <v>Карагандинская</v>
      </c>
      <c r="C290" s="6" t="s">
        <v>1320</v>
      </c>
      <c r="D290" s="8" t="s">
        <v>1651</v>
      </c>
      <c r="E290" s="7">
        <v>45340.0</v>
      </c>
      <c r="F290" s="6" t="s">
        <v>1652</v>
      </c>
      <c r="G290" s="6" t="s">
        <v>1653</v>
      </c>
      <c r="H290" s="9" t="s">
        <v>1654</v>
      </c>
      <c r="I290" s="16">
        <v>11.0</v>
      </c>
      <c r="J290" s="10">
        <v>108.0</v>
      </c>
      <c r="K290" s="9" t="s">
        <v>1655</v>
      </c>
      <c r="L290" s="9" t="s">
        <v>1656</v>
      </c>
      <c r="M290" s="9" t="s">
        <v>1657</v>
      </c>
      <c r="N290" s="11">
        <v>2024.0</v>
      </c>
    </row>
    <row r="291" ht="15.75" customHeight="1">
      <c r="A291" s="5" t="s">
        <v>15</v>
      </c>
      <c r="B291" s="6" t="str">
        <f t="array" ref="B291">XLOOKUP(C291,city_to_region!$B$5:$B$96,city_to_region!$A$5:$A$96)</f>
        <v>Карагандинская</v>
      </c>
      <c r="C291" s="6" t="s">
        <v>1320</v>
      </c>
      <c r="D291" s="6" t="s">
        <v>1594</v>
      </c>
      <c r="E291" s="7">
        <v>45340.0</v>
      </c>
      <c r="F291" s="6" t="s">
        <v>1658</v>
      </c>
      <c r="G291" s="6" t="s">
        <v>1659</v>
      </c>
      <c r="H291" s="9" t="s">
        <v>1660</v>
      </c>
      <c r="I291" s="9">
        <v>14.3</v>
      </c>
      <c r="J291" s="10">
        <v>79.0</v>
      </c>
      <c r="K291" s="9" t="s">
        <v>1661</v>
      </c>
      <c r="L291" s="9" t="s">
        <v>1662</v>
      </c>
      <c r="M291" s="9" t="s">
        <v>1663</v>
      </c>
      <c r="N291" s="11">
        <v>2024.0</v>
      </c>
    </row>
    <row r="292" ht="15.75" customHeight="1">
      <c r="A292" s="5" t="s">
        <v>15</v>
      </c>
      <c r="B292" s="6" t="str">
        <f t="array" ref="B292">XLOOKUP(C292,city_to_region!$B$5:$B$96,city_to_region!$A$5:$A$96)</f>
        <v>Карагандинская</v>
      </c>
      <c r="C292" s="6" t="s">
        <v>1320</v>
      </c>
      <c r="D292" s="8" t="s">
        <v>1664</v>
      </c>
      <c r="E292" s="7">
        <v>45340.0</v>
      </c>
      <c r="F292" s="6" t="s">
        <v>1665</v>
      </c>
      <c r="G292" s="6" t="s">
        <v>1666</v>
      </c>
      <c r="H292" s="9" t="s">
        <v>1667</v>
      </c>
      <c r="I292" s="9">
        <v>14.1</v>
      </c>
      <c r="J292" s="10">
        <v>115.0</v>
      </c>
      <c r="K292" s="9" t="s">
        <v>1668</v>
      </c>
      <c r="L292" s="9" t="s">
        <v>1669</v>
      </c>
      <c r="M292" s="9" t="s">
        <v>1670</v>
      </c>
      <c r="N292" s="11">
        <v>2024.0</v>
      </c>
    </row>
    <row r="293" ht="15.75" customHeight="1">
      <c r="A293" s="5" t="s">
        <v>15</v>
      </c>
      <c r="B293" s="6" t="str">
        <f t="array" ref="B293">XLOOKUP(C293,city_to_region!$B$5:$B$96,city_to_region!$A$5:$A$96)</f>
        <v>Карагандинская</v>
      </c>
      <c r="C293" s="6" t="s">
        <v>1320</v>
      </c>
      <c r="D293" s="6" t="s">
        <v>1671</v>
      </c>
      <c r="E293" s="7">
        <v>45340.0</v>
      </c>
      <c r="F293" s="6" t="s">
        <v>1672</v>
      </c>
      <c r="G293" s="6" t="s">
        <v>1673</v>
      </c>
      <c r="H293" s="9" t="s">
        <v>1674</v>
      </c>
      <c r="I293" s="9">
        <v>12.4</v>
      </c>
      <c r="J293" s="10">
        <v>71.0</v>
      </c>
      <c r="K293" s="9" t="s">
        <v>1675</v>
      </c>
      <c r="L293" s="9" t="s">
        <v>1676</v>
      </c>
      <c r="M293" s="9" t="s">
        <v>1677</v>
      </c>
      <c r="N293" s="11">
        <v>2024.0</v>
      </c>
    </row>
    <row r="294" ht="15.75" customHeight="1">
      <c r="A294" s="5" t="s">
        <v>15</v>
      </c>
      <c r="B294" s="6" t="str">
        <f t="array" ref="B294">XLOOKUP(C294,city_to_region!$B$5:$B$96,city_to_region!$A$5:$A$96)</f>
        <v>Карагандинская</v>
      </c>
      <c r="C294" s="6" t="s">
        <v>1320</v>
      </c>
      <c r="D294" s="8" t="s">
        <v>1678</v>
      </c>
      <c r="E294" s="7">
        <v>45340.0</v>
      </c>
      <c r="F294" s="6" t="s">
        <v>1679</v>
      </c>
      <c r="G294" s="6" t="s">
        <v>1680</v>
      </c>
      <c r="H294" s="9" t="s">
        <v>1681</v>
      </c>
      <c r="I294" s="9">
        <v>10.1</v>
      </c>
      <c r="J294" s="10">
        <v>50.0</v>
      </c>
      <c r="K294" s="9" t="s">
        <v>1682</v>
      </c>
      <c r="L294" s="9" t="s">
        <v>1683</v>
      </c>
      <c r="M294" s="9" t="s">
        <v>1684</v>
      </c>
      <c r="N294" s="11">
        <v>2024.0</v>
      </c>
    </row>
    <row r="295" ht="15.75" customHeight="1">
      <c r="A295" s="5" t="s">
        <v>15</v>
      </c>
      <c r="B295" s="6" t="str">
        <f t="array" ref="B295">XLOOKUP(C295,city_to_region!$B$5:$B$96,city_to_region!$A$5:$A$96)</f>
        <v>Карагандинская</v>
      </c>
      <c r="C295" s="6" t="s">
        <v>1320</v>
      </c>
      <c r="D295" s="6" t="s">
        <v>1685</v>
      </c>
      <c r="E295" s="7">
        <v>45340.0</v>
      </c>
      <c r="F295" s="6" t="s">
        <v>1686</v>
      </c>
      <c r="G295" s="6" t="s">
        <v>1687</v>
      </c>
      <c r="H295" s="9" t="s">
        <v>1688</v>
      </c>
      <c r="I295" s="9">
        <v>11.7</v>
      </c>
      <c r="J295" s="10">
        <v>48.0</v>
      </c>
      <c r="K295" s="9" t="s">
        <v>1689</v>
      </c>
      <c r="L295" s="9" t="s">
        <v>1690</v>
      </c>
      <c r="M295" s="9" t="s">
        <v>1691</v>
      </c>
      <c r="N295" s="11">
        <v>2024.0</v>
      </c>
    </row>
    <row r="296" ht="15.75" customHeight="1">
      <c r="A296" s="5" t="s">
        <v>15</v>
      </c>
      <c r="B296" s="6" t="str">
        <f t="array" ref="B296">XLOOKUP(C296,city_to_region!$B$5:$B$96,city_to_region!$A$5:$A$96)</f>
        <v>Карагандинская</v>
      </c>
      <c r="C296" s="6" t="s">
        <v>1320</v>
      </c>
      <c r="D296" s="8" t="s">
        <v>1692</v>
      </c>
      <c r="E296" s="7">
        <v>45340.0</v>
      </c>
      <c r="F296" s="6" t="s">
        <v>1693</v>
      </c>
      <c r="G296" s="6" t="s">
        <v>1694</v>
      </c>
      <c r="H296" s="9" t="s">
        <v>1695</v>
      </c>
      <c r="I296" s="9">
        <v>12.5</v>
      </c>
      <c r="J296" s="10">
        <v>56.0</v>
      </c>
      <c r="K296" s="9" t="s">
        <v>1696</v>
      </c>
      <c r="L296" s="9" t="s">
        <v>1697</v>
      </c>
      <c r="M296" s="9" t="s">
        <v>1698</v>
      </c>
      <c r="N296" s="11">
        <v>2024.0</v>
      </c>
    </row>
    <row r="297" ht="15.75" customHeight="1">
      <c r="A297" s="5" t="s">
        <v>15</v>
      </c>
      <c r="B297" s="6" t="str">
        <f t="array" ref="B297">XLOOKUP(C297,city_to_region!$B$5:$B$96,city_to_region!$A$5:$A$96)</f>
        <v>Карагандинская</v>
      </c>
      <c r="C297" s="6" t="s">
        <v>1320</v>
      </c>
      <c r="D297" s="6" t="s">
        <v>1699</v>
      </c>
      <c r="E297" s="7">
        <v>45340.0</v>
      </c>
      <c r="F297" s="6" t="s">
        <v>1700</v>
      </c>
      <c r="G297" s="6" t="s">
        <v>1701</v>
      </c>
      <c r="H297" s="9" t="s">
        <v>1702</v>
      </c>
      <c r="I297" s="9">
        <v>15.2</v>
      </c>
      <c r="J297" s="10">
        <v>74.0</v>
      </c>
      <c r="K297" s="9" t="s">
        <v>1703</v>
      </c>
      <c r="L297" s="9" t="s">
        <v>1704</v>
      </c>
      <c r="M297" s="9" t="s">
        <v>1705</v>
      </c>
      <c r="N297" s="11">
        <v>2024.0</v>
      </c>
    </row>
    <row r="298" ht="15.75" customHeight="1">
      <c r="A298" s="5" t="s">
        <v>15</v>
      </c>
      <c r="B298" s="6" t="str">
        <f t="array" ref="B298">XLOOKUP(C298,city_to_region!$B$5:$B$96,city_to_region!$A$5:$A$96)</f>
        <v>Карагандинская</v>
      </c>
      <c r="C298" s="6" t="s">
        <v>1320</v>
      </c>
      <c r="D298" s="8" t="s">
        <v>1706</v>
      </c>
      <c r="E298" s="7">
        <v>45340.0</v>
      </c>
      <c r="F298" s="6" t="s">
        <v>1707</v>
      </c>
      <c r="G298" s="6" t="s">
        <v>1708</v>
      </c>
      <c r="H298" s="9" t="s">
        <v>1709</v>
      </c>
      <c r="I298" s="9">
        <v>17.3</v>
      </c>
      <c r="J298" s="10">
        <v>103.0</v>
      </c>
      <c r="K298" s="9" t="s">
        <v>1710</v>
      </c>
      <c r="L298" s="9" t="s">
        <v>1711</v>
      </c>
      <c r="M298" s="9" t="s">
        <v>1712</v>
      </c>
      <c r="N298" s="11">
        <v>2024.0</v>
      </c>
    </row>
    <row r="299" ht="15.75" customHeight="1">
      <c r="A299" s="5" t="s">
        <v>15</v>
      </c>
      <c r="B299" s="6" t="str">
        <f t="array" ref="B299">XLOOKUP(C299,city_to_region!$B$5:$B$96,city_to_region!$A$5:$A$96)</f>
        <v>Карагандинская</v>
      </c>
      <c r="C299" s="6" t="s">
        <v>1320</v>
      </c>
      <c r="D299" s="6" t="s">
        <v>1713</v>
      </c>
      <c r="E299" s="7">
        <v>45340.0</v>
      </c>
      <c r="F299" s="6" t="s">
        <v>1714</v>
      </c>
      <c r="G299" s="6" t="s">
        <v>1715</v>
      </c>
      <c r="H299" s="9" t="s">
        <v>1716</v>
      </c>
      <c r="I299" s="9">
        <v>15.8</v>
      </c>
      <c r="J299" s="10">
        <v>72.0</v>
      </c>
      <c r="K299" s="9" t="s">
        <v>1717</v>
      </c>
      <c r="L299" s="9" t="s">
        <v>1718</v>
      </c>
      <c r="M299" s="9" t="s">
        <v>1719</v>
      </c>
      <c r="N299" s="11">
        <v>2024.0</v>
      </c>
    </row>
    <row r="300" ht="15.75" customHeight="1">
      <c r="A300" s="5" t="s">
        <v>15</v>
      </c>
      <c r="B300" s="6" t="str">
        <f t="array" ref="B300">XLOOKUP(C300,city_to_region!$B$5:$B$96,city_to_region!$A$5:$A$96)</f>
        <v>Карагандинская</v>
      </c>
      <c r="C300" s="6" t="s">
        <v>1320</v>
      </c>
      <c r="D300" s="8" t="s">
        <v>1720</v>
      </c>
      <c r="E300" s="7">
        <v>45340.0</v>
      </c>
      <c r="F300" s="6" t="s">
        <v>1721</v>
      </c>
      <c r="G300" s="6" t="s">
        <v>1722</v>
      </c>
      <c r="H300" s="9" t="s">
        <v>1723</v>
      </c>
      <c r="I300" s="9">
        <v>12.1</v>
      </c>
      <c r="J300" s="10">
        <v>65.0</v>
      </c>
      <c r="K300" s="9" t="s">
        <v>1724</v>
      </c>
      <c r="L300" s="9" t="s">
        <v>1725</v>
      </c>
      <c r="M300" s="9" t="s">
        <v>1726</v>
      </c>
      <c r="N300" s="11">
        <v>2024.0</v>
      </c>
    </row>
    <row r="301" ht="15.75" customHeight="1">
      <c r="A301" s="5" t="s">
        <v>15</v>
      </c>
      <c r="B301" s="6" t="str">
        <f t="array" ref="B301">XLOOKUP(C301,city_to_region!$B$5:$B$96,city_to_region!$A$5:$A$96)</f>
        <v>Карагандинская</v>
      </c>
      <c r="C301" s="6" t="s">
        <v>1320</v>
      </c>
      <c r="D301" s="6" t="s">
        <v>1727</v>
      </c>
      <c r="E301" s="7">
        <v>45346.0</v>
      </c>
      <c r="F301" s="6" t="s">
        <v>1728</v>
      </c>
      <c r="G301" s="6" t="s">
        <v>1729</v>
      </c>
      <c r="H301" s="9" t="s">
        <v>1730</v>
      </c>
      <c r="I301" s="9">
        <v>11.5</v>
      </c>
      <c r="J301" s="10">
        <v>70.0</v>
      </c>
      <c r="K301" s="9" t="s">
        <v>1731</v>
      </c>
      <c r="L301" s="9" t="s">
        <v>1732</v>
      </c>
      <c r="M301" s="9" t="s">
        <v>1733</v>
      </c>
      <c r="N301" s="11">
        <v>2024.0</v>
      </c>
    </row>
    <row r="302" ht="15.75" customHeight="1">
      <c r="A302" s="5" t="s">
        <v>15</v>
      </c>
      <c r="B302" s="6" t="str">
        <f t="array" ref="B302">XLOOKUP(C302,city_to_region!$B$5:$B$96,city_to_region!$A$5:$A$96)</f>
        <v>Карагандинская</v>
      </c>
      <c r="C302" s="6" t="s">
        <v>1320</v>
      </c>
      <c r="D302" s="6" t="s">
        <v>1734</v>
      </c>
      <c r="E302" s="7">
        <v>45351.0</v>
      </c>
      <c r="F302" s="6" t="s">
        <v>1735</v>
      </c>
      <c r="G302" s="6" t="s">
        <v>1736</v>
      </c>
      <c r="H302" s="9" t="s">
        <v>1737</v>
      </c>
      <c r="I302" s="9">
        <v>12.8</v>
      </c>
      <c r="J302" s="10">
        <v>111.0</v>
      </c>
      <c r="K302" s="9" t="s">
        <v>1738</v>
      </c>
      <c r="L302" s="9" t="s">
        <v>1739</v>
      </c>
      <c r="M302" s="9" t="s">
        <v>1740</v>
      </c>
      <c r="N302" s="11">
        <v>2024.0</v>
      </c>
    </row>
    <row r="303" ht="15.75" customHeight="1">
      <c r="A303" s="5" t="s">
        <v>15</v>
      </c>
      <c r="B303" s="6" t="str">
        <f t="array" ref="B303">XLOOKUP(C303,city_to_region!$B$5:$B$96,city_to_region!$A$5:$A$96)</f>
        <v>Карагандинская</v>
      </c>
      <c r="C303" s="6" t="s">
        <v>1320</v>
      </c>
      <c r="D303" s="6" t="s">
        <v>1335</v>
      </c>
      <c r="E303" s="7">
        <v>45351.0</v>
      </c>
      <c r="F303" s="6" t="s">
        <v>1741</v>
      </c>
      <c r="G303" s="6" t="s">
        <v>1742</v>
      </c>
      <c r="H303" s="9" t="s">
        <v>1743</v>
      </c>
      <c r="I303" s="9">
        <v>10.4</v>
      </c>
      <c r="J303" s="10">
        <v>167.0</v>
      </c>
      <c r="K303" s="9" t="s">
        <v>1744</v>
      </c>
      <c r="L303" s="9" t="s">
        <v>1745</v>
      </c>
      <c r="M303" s="9" t="s">
        <v>1746</v>
      </c>
      <c r="N303" s="11">
        <v>2024.0</v>
      </c>
    </row>
    <row r="304" ht="15.75" customHeight="1">
      <c r="A304" s="5" t="s">
        <v>15</v>
      </c>
      <c r="B304" s="6" t="str">
        <f t="array" ref="B304">XLOOKUP(C304,city_to_region!$B$5:$B$96,city_to_region!$A$5:$A$96)</f>
        <v>Карагандинская</v>
      </c>
      <c r="C304" s="6" t="s">
        <v>1320</v>
      </c>
      <c r="D304" s="6" t="s">
        <v>1335</v>
      </c>
      <c r="E304" s="7">
        <v>45351.0</v>
      </c>
      <c r="F304" s="6" t="s">
        <v>1747</v>
      </c>
      <c r="G304" s="6" t="s">
        <v>1748</v>
      </c>
      <c r="H304" s="9" t="s">
        <v>1749</v>
      </c>
      <c r="I304" s="9">
        <v>10.2</v>
      </c>
      <c r="J304" s="10">
        <v>179.0</v>
      </c>
      <c r="K304" s="9" t="s">
        <v>1750</v>
      </c>
      <c r="L304" s="9" t="s">
        <v>1751</v>
      </c>
      <c r="M304" s="9" t="s">
        <v>1752</v>
      </c>
      <c r="N304" s="11">
        <v>2024.0</v>
      </c>
    </row>
    <row r="305" ht="15.75" customHeight="1">
      <c r="A305" s="5" t="s">
        <v>15</v>
      </c>
      <c r="B305" s="6" t="str">
        <f t="array" ref="B305">XLOOKUP(C305,city_to_region!$B$5:$B$96,city_to_region!$A$5:$A$96)</f>
        <v>Карагандинская</v>
      </c>
      <c r="C305" s="6" t="s">
        <v>1320</v>
      </c>
      <c r="D305" s="6" t="s">
        <v>1335</v>
      </c>
      <c r="E305" s="7">
        <v>45351.0</v>
      </c>
      <c r="F305" s="6" t="s">
        <v>1753</v>
      </c>
      <c r="G305" s="6" t="s">
        <v>1754</v>
      </c>
      <c r="H305" s="9" t="s">
        <v>1755</v>
      </c>
      <c r="I305" s="9">
        <v>10.5</v>
      </c>
      <c r="J305" s="10">
        <v>107.0</v>
      </c>
      <c r="K305" s="9" t="s">
        <v>1756</v>
      </c>
      <c r="L305" s="9" t="s">
        <v>1757</v>
      </c>
      <c r="M305" s="9" t="s">
        <v>1758</v>
      </c>
      <c r="N305" s="11">
        <v>2024.0</v>
      </c>
    </row>
    <row r="306" ht="15.75" customHeight="1">
      <c r="A306" s="5" t="s">
        <v>15</v>
      </c>
      <c r="B306" s="6" t="str">
        <f t="array" ref="B306">XLOOKUP(C306,city_to_region!$B$5:$B$96,city_to_region!$A$5:$A$96)</f>
        <v>Карагандинская</v>
      </c>
      <c r="C306" s="6" t="s">
        <v>1320</v>
      </c>
      <c r="D306" s="6" t="s">
        <v>1335</v>
      </c>
      <c r="E306" s="7">
        <v>45351.0</v>
      </c>
      <c r="F306" s="6" t="s">
        <v>1759</v>
      </c>
      <c r="G306" s="6" t="s">
        <v>1760</v>
      </c>
      <c r="H306" s="9" t="s">
        <v>1761</v>
      </c>
      <c r="I306" s="9">
        <v>10.4</v>
      </c>
      <c r="J306" s="10">
        <v>167.0</v>
      </c>
      <c r="K306" s="9" t="s">
        <v>1762</v>
      </c>
      <c r="L306" s="9" t="s">
        <v>1763</v>
      </c>
      <c r="M306" s="9" t="s">
        <v>1764</v>
      </c>
      <c r="N306" s="11">
        <v>2024.0</v>
      </c>
    </row>
    <row r="307" ht="15.75" customHeight="1">
      <c r="A307" s="5" t="s">
        <v>15</v>
      </c>
      <c r="B307" s="6" t="str">
        <f t="array" ref="B307">XLOOKUP(C307,city_to_region!$B$5:$B$96,city_to_region!$A$5:$A$96)</f>
        <v>Карагандинская</v>
      </c>
      <c r="C307" s="6" t="s">
        <v>1320</v>
      </c>
      <c r="D307" s="6" t="s">
        <v>1335</v>
      </c>
      <c r="E307" s="7">
        <v>45351.0</v>
      </c>
      <c r="F307" s="6" t="s">
        <v>1765</v>
      </c>
      <c r="G307" s="6" t="s">
        <v>1766</v>
      </c>
      <c r="H307" s="9" t="s">
        <v>1767</v>
      </c>
      <c r="I307" s="9">
        <v>10.2</v>
      </c>
      <c r="J307" s="10">
        <v>179.0</v>
      </c>
      <c r="K307" s="9" t="s">
        <v>1768</v>
      </c>
      <c r="L307" s="9" t="s">
        <v>1769</v>
      </c>
      <c r="M307" s="9" t="s">
        <v>1770</v>
      </c>
      <c r="N307" s="11">
        <v>2024.0</v>
      </c>
    </row>
    <row r="308" ht="15.75" customHeight="1">
      <c r="A308" s="5" t="s">
        <v>15</v>
      </c>
      <c r="B308" s="6" t="str">
        <f t="array" ref="B308">XLOOKUP(C308,city_to_region!$B$5:$B$96,city_to_region!$A$5:$A$96)</f>
        <v>Карагандинская</v>
      </c>
      <c r="C308" s="6" t="s">
        <v>1320</v>
      </c>
      <c r="D308" s="6" t="s">
        <v>1335</v>
      </c>
      <c r="E308" s="7">
        <v>45351.0</v>
      </c>
      <c r="F308" s="6" t="s">
        <v>1771</v>
      </c>
      <c r="G308" s="6" t="s">
        <v>1772</v>
      </c>
      <c r="H308" s="9" t="s">
        <v>1773</v>
      </c>
      <c r="I308" s="9">
        <v>10.5</v>
      </c>
      <c r="J308" s="10">
        <v>107.0</v>
      </c>
      <c r="K308" s="9" t="s">
        <v>1774</v>
      </c>
      <c r="L308" s="9" t="s">
        <v>1775</v>
      </c>
      <c r="M308" s="9" t="s">
        <v>1776</v>
      </c>
      <c r="N308" s="11">
        <v>2024.0</v>
      </c>
    </row>
    <row r="309" ht="15.75" customHeight="1">
      <c r="A309" s="5" t="s">
        <v>15</v>
      </c>
      <c r="B309" s="6" t="str">
        <f t="array" ref="B309">XLOOKUP(C309,city_to_region!$B$5:$B$96,city_to_region!$A$5:$A$96)</f>
        <v>Карагандинская</v>
      </c>
      <c r="C309" s="6" t="s">
        <v>1320</v>
      </c>
      <c r="D309" s="6" t="s">
        <v>1335</v>
      </c>
      <c r="E309" s="7">
        <v>45351.0</v>
      </c>
      <c r="F309" s="6" t="s">
        <v>1777</v>
      </c>
      <c r="G309" s="6" t="s">
        <v>1778</v>
      </c>
      <c r="H309" s="9" t="s">
        <v>1779</v>
      </c>
      <c r="I309" s="9">
        <v>21.8</v>
      </c>
      <c r="J309" s="10">
        <v>54.0</v>
      </c>
      <c r="K309" s="9" t="s">
        <v>1780</v>
      </c>
      <c r="L309" s="9" t="s">
        <v>1781</v>
      </c>
      <c r="M309" s="9" t="s">
        <v>1782</v>
      </c>
      <c r="N309" s="11">
        <v>2024.0</v>
      </c>
    </row>
    <row r="310" ht="15.75" customHeight="1">
      <c r="A310" s="5" t="s">
        <v>15</v>
      </c>
      <c r="B310" s="6" t="str">
        <f t="array" ref="B310">XLOOKUP(C310,city_to_region!$B$5:$B$96,city_to_region!$A$5:$A$96)</f>
        <v>Карагандинская</v>
      </c>
      <c r="C310" s="6" t="s">
        <v>1320</v>
      </c>
      <c r="D310" s="6" t="s">
        <v>1335</v>
      </c>
      <c r="E310" s="7">
        <v>45351.0</v>
      </c>
      <c r="F310" s="6" t="s">
        <v>1783</v>
      </c>
      <c r="G310" s="6" t="s">
        <v>1784</v>
      </c>
      <c r="H310" s="9" t="s">
        <v>1785</v>
      </c>
      <c r="I310" s="9">
        <v>23.3</v>
      </c>
      <c r="J310" s="10">
        <v>73.0</v>
      </c>
      <c r="K310" s="9" t="s">
        <v>1786</v>
      </c>
      <c r="L310" s="9" t="s">
        <v>1787</v>
      </c>
      <c r="M310" s="9" t="s">
        <v>1788</v>
      </c>
      <c r="N310" s="11">
        <v>2024.0</v>
      </c>
    </row>
    <row r="311" ht="15.75" customHeight="1">
      <c r="A311" s="5" t="s">
        <v>15</v>
      </c>
      <c r="B311" s="6" t="str">
        <f t="array" ref="B311">XLOOKUP(C311,city_to_region!$B$5:$B$96,city_to_region!$A$5:$A$96)</f>
        <v>Карагандинская</v>
      </c>
      <c r="C311" s="6" t="s">
        <v>1320</v>
      </c>
      <c r="D311" s="6" t="s">
        <v>1789</v>
      </c>
      <c r="E311" s="7">
        <v>45351.0</v>
      </c>
      <c r="F311" s="6" t="s">
        <v>1790</v>
      </c>
      <c r="G311" s="6" t="s">
        <v>1791</v>
      </c>
      <c r="H311" s="9" t="s">
        <v>1792</v>
      </c>
      <c r="I311" s="9">
        <v>11.6</v>
      </c>
      <c r="J311" s="10">
        <v>54.0</v>
      </c>
      <c r="K311" s="9" t="s">
        <v>1793</v>
      </c>
      <c r="L311" s="9" t="s">
        <v>1794</v>
      </c>
      <c r="M311" s="9" t="s">
        <v>1795</v>
      </c>
      <c r="N311" s="11">
        <v>2024.0</v>
      </c>
    </row>
    <row r="312" ht="15.75" customHeight="1">
      <c r="A312" s="5" t="s">
        <v>15</v>
      </c>
      <c r="B312" s="6" t="str">
        <f t="array" ref="B312">XLOOKUP(C312,city_to_region!$B$5:$B$96,city_to_region!$A$5:$A$96)</f>
        <v>Карагандинская</v>
      </c>
      <c r="C312" s="6" t="s">
        <v>1320</v>
      </c>
      <c r="D312" s="6" t="s">
        <v>1796</v>
      </c>
      <c r="E312" s="7">
        <v>45351.0</v>
      </c>
      <c r="F312" s="6" t="s">
        <v>1797</v>
      </c>
      <c r="G312" s="6" t="s">
        <v>1798</v>
      </c>
      <c r="H312" s="9" t="s">
        <v>1799</v>
      </c>
      <c r="I312" s="9">
        <v>12.4</v>
      </c>
      <c r="J312" s="10">
        <v>73.0</v>
      </c>
      <c r="K312" s="9" t="s">
        <v>1800</v>
      </c>
      <c r="L312" s="9" t="s">
        <v>1801</v>
      </c>
      <c r="M312" s="9" t="s">
        <v>1802</v>
      </c>
      <c r="N312" s="11">
        <v>2024.0</v>
      </c>
    </row>
    <row r="313" ht="15.75" customHeight="1">
      <c r="A313" s="5" t="s">
        <v>15</v>
      </c>
      <c r="B313" s="6" t="str">
        <f t="array" ref="B313">XLOOKUP(C313,city_to_region!$B$5:$B$96,city_to_region!$A$5:$A$96)</f>
        <v>Карагандинская</v>
      </c>
      <c r="C313" s="6" t="s">
        <v>1320</v>
      </c>
      <c r="D313" s="6" t="s">
        <v>1803</v>
      </c>
      <c r="E313" s="7">
        <v>45352.0</v>
      </c>
      <c r="F313" s="6" t="s">
        <v>1804</v>
      </c>
      <c r="G313" s="8" t="s">
        <v>1805</v>
      </c>
      <c r="H313" s="9" t="s">
        <v>1806</v>
      </c>
      <c r="I313" s="9">
        <v>20.3</v>
      </c>
      <c r="J313" s="10">
        <v>94.0</v>
      </c>
      <c r="K313" s="9" t="s">
        <v>1807</v>
      </c>
      <c r="L313" s="9" t="s">
        <v>1808</v>
      </c>
      <c r="M313" s="9" t="s">
        <v>1809</v>
      </c>
      <c r="N313" s="11">
        <v>2024.0</v>
      </c>
    </row>
    <row r="314" ht="15.75" customHeight="1">
      <c r="A314" s="5" t="s">
        <v>15</v>
      </c>
      <c r="B314" s="6" t="str">
        <f t="array" ref="B314">XLOOKUP(C314,city_to_region!$B$5:$B$96,city_to_region!$A$5:$A$96)</f>
        <v>Карагандинская</v>
      </c>
      <c r="C314" s="6" t="s">
        <v>1320</v>
      </c>
      <c r="D314" s="6" t="s">
        <v>1810</v>
      </c>
      <c r="E314" s="7">
        <v>45352.0</v>
      </c>
      <c r="F314" s="6" t="s">
        <v>1811</v>
      </c>
      <c r="G314" s="8" t="s">
        <v>1812</v>
      </c>
      <c r="H314" s="9" t="s">
        <v>1813</v>
      </c>
      <c r="I314" s="9">
        <v>10.0</v>
      </c>
      <c r="J314" s="10">
        <v>113.0</v>
      </c>
      <c r="K314" s="9" t="s">
        <v>1814</v>
      </c>
      <c r="L314" s="9" t="s">
        <v>1815</v>
      </c>
      <c r="M314" s="9" t="s">
        <v>1816</v>
      </c>
      <c r="N314" s="11">
        <v>2024.0</v>
      </c>
    </row>
    <row r="315" ht="15.75" customHeight="1">
      <c r="A315" s="5" t="s">
        <v>15</v>
      </c>
      <c r="B315" s="6" t="str">
        <f t="array" ref="B315">XLOOKUP(C315,city_to_region!$B$5:$B$96,city_to_region!$A$5:$A$96)</f>
        <v>Карагандинская</v>
      </c>
      <c r="C315" s="6" t="s">
        <v>1320</v>
      </c>
      <c r="D315" s="6" t="s">
        <v>1817</v>
      </c>
      <c r="E315" s="7">
        <v>45352.0</v>
      </c>
      <c r="F315" s="6" t="s">
        <v>1818</v>
      </c>
      <c r="G315" s="8" t="s">
        <v>1819</v>
      </c>
      <c r="H315" s="9" t="s">
        <v>1820</v>
      </c>
      <c r="I315" s="9">
        <v>10.8</v>
      </c>
      <c r="J315" s="10">
        <v>94.0</v>
      </c>
      <c r="K315" s="9" t="s">
        <v>1821</v>
      </c>
      <c r="L315" s="9" t="s">
        <v>1822</v>
      </c>
      <c r="M315" s="9" t="s">
        <v>1823</v>
      </c>
      <c r="N315" s="11">
        <v>2024.0</v>
      </c>
    </row>
    <row r="316" ht="15.75" customHeight="1">
      <c r="A316" s="5" t="s">
        <v>15</v>
      </c>
      <c r="B316" s="6" t="str">
        <f t="array" ref="B316">XLOOKUP(C316,city_to_region!$B$5:$B$96,city_to_region!$A$5:$A$96)</f>
        <v>Карагандинская</v>
      </c>
      <c r="C316" s="6" t="s">
        <v>1320</v>
      </c>
      <c r="D316" s="6" t="s">
        <v>1824</v>
      </c>
      <c r="E316" s="7">
        <v>45368.0</v>
      </c>
      <c r="F316" s="6" t="s">
        <v>1825</v>
      </c>
      <c r="G316" s="8" t="s">
        <v>1826</v>
      </c>
      <c r="H316" s="9" t="s">
        <v>1827</v>
      </c>
      <c r="I316" s="9">
        <v>12.3</v>
      </c>
      <c r="J316" s="10">
        <v>46.0</v>
      </c>
      <c r="K316" s="9" t="s">
        <v>1828</v>
      </c>
      <c r="L316" s="9" t="s">
        <v>1829</v>
      </c>
      <c r="M316" s="9" t="s">
        <v>1830</v>
      </c>
      <c r="N316" s="11">
        <v>2024.0</v>
      </c>
    </row>
    <row r="317" ht="15.75" customHeight="1">
      <c r="A317" s="5" t="s">
        <v>15</v>
      </c>
      <c r="B317" s="6" t="str">
        <f t="array" ref="B317">XLOOKUP(C317,city_to_region!$B$5:$B$96,city_to_region!$A$5:$A$96)</f>
        <v>Карагандинская</v>
      </c>
      <c r="C317" s="6" t="s">
        <v>1320</v>
      </c>
      <c r="D317" s="6" t="s">
        <v>1831</v>
      </c>
      <c r="E317" s="7">
        <v>45368.0</v>
      </c>
      <c r="F317" s="6" t="s">
        <v>1832</v>
      </c>
      <c r="G317" s="8" t="s">
        <v>1833</v>
      </c>
      <c r="H317" s="9" t="s">
        <v>1834</v>
      </c>
      <c r="I317" s="9">
        <v>13.5</v>
      </c>
      <c r="J317" s="10">
        <v>49.0</v>
      </c>
      <c r="K317" s="9" t="s">
        <v>1835</v>
      </c>
      <c r="L317" s="9" t="s">
        <v>1836</v>
      </c>
      <c r="M317" s="9" t="s">
        <v>1837</v>
      </c>
      <c r="N317" s="11">
        <v>2024.0</v>
      </c>
    </row>
    <row r="318" ht="15.75" customHeight="1">
      <c r="A318" s="5" t="s">
        <v>15</v>
      </c>
      <c r="B318" s="6" t="str">
        <f t="array" ref="B318">XLOOKUP(C318,city_to_region!$B$5:$B$96,city_to_region!$A$5:$A$96)</f>
        <v>Карагандинская</v>
      </c>
      <c r="C318" s="6" t="s">
        <v>1320</v>
      </c>
      <c r="D318" s="6" t="s">
        <v>1335</v>
      </c>
      <c r="E318" s="7">
        <v>45368.0</v>
      </c>
      <c r="F318" s="6" t="s">
        <v>1838</v>
      </c>
      <c r="G318" s="8" t="s">
        <v>1839</v>
      </c>
      <c r="H318" s="9" t="s">
        <v>1840</v>
      </c>
      <c r="I318" s="9">
        <v>12.7</v>
      </c>
      <c r="J318" s="10">
        <v>46.0</v>
      </c>
      <c r="K318" s="9" t="s">
        <v>1841</v>
      </c>
      <c r="L318" s="9" t="s">
        <v>1842</v>
      </c>
      <c r="M318" s="9" t="s">
        <v>1843</v>
      </c>
      <c r="N318" s="11">
        <v>2024.0</v>
      </c>
    </row>
    <row r="319" ht="15.75" customHeight="1">
      <c r="A319" s="5" t="s">
        <v>15</v>
      </c>
      <c r="B319" s="6" t="str">
        <f t="array" ref="B319">XLOOKUP(C319,city_to_region!$B$5:$B$96,city_to_region!$A$5:$A$96)</f>
        <v>Карагандинская</v>
      </c>
      <c r="C319" s="6" t="s">
        <v>1320</v>
      </c>
      <c r="D319" s="6" t="s">
        <v>1335</v>
      </c>
      <c r="E319" s="7">
        <v>45368.0</v>
      </c>
      <c r="F319" s="6" t="s">
        <v>1844</v>
      </c>
      <c r="G319" s="8" t="s">
        <v>1845</v>
      </c>
      <c r="H319" s="9" t="s">
        <v>1846</v>
      </c>
      <c r="I319" s="9">
        <v>14.4</v>
      </c>
      <c r="J319" s="10">
        <v>73.0</v>
      </c>
      <c r="K319" s="9" t="s">
        <v>1847</v>
      </c>
      <c r="L319" s="9" t="s">
        <v>1848</v>
      </c>
      <c r="M319" s="9" t="s">
        <v>1849</v>
      </c>
      <c r="N319" s="11">
        <v>2024.0</v>
      </c>
    </row>
    <row r="320" ht="15.75" customHeight="1">
      <c r="A320" s="5" t="s">
        <v>15</v>
      </c>
      <c r="B320" s="6" t="str">
        <f t="array" ref="B320">XLOOKUP(C320,city_to_region!$B$5:$B$96,city_to_region!$A$5:$A$96)</f>
        <v>Карагандинская</v>
      </c>
      <c r="C320" s="6" t="s">
        <v>1320</v>
      </c>
      <c r="D320" s="6" t="s">
        <v>1335</v>
      </c>
      <c r="E320" s="7">
        <v>45368.0</v>
      </c>
      <c r="F320" s="6" t="s">
        <v>1850</v>
      </c>
      <c r="G320" s="8" t="s">
        <v>1851</v>
      </c>
      <c r="H320" s="9" t="s">
        <v>1852</v>
      </c>
      <c r="I320" s="9">
        <v>14.4</v>
      </c>
      <c r="J320" s="10">
        <v>83.0</v>
      </c>
      <c r="K320" s="9" t="s">
        <v>1853</v>
      </c>
      <c r="L320" s="9" t="s">
        <v>1854</v>
      </c>
      <c r="M320" s="9" t="s">
        <v>1855</v>
      </c>
      <c r="N320" s="11">
        <v>2024.0</v>
      </c>
    </row>
    <row r="321" ht="15.75" customHeight="1">
      <c r="A321" s="5" t="s">
        <v>15</v>
      </c>
      <c r="B321" s="6" t="str">
        <f t="array" ref="B321">XLOOKUP(C321,city_to_region!$B$5:$B$96,city_to_region!$A$5:$A$96)</f>
        <v>Карагандинская</v>
      </c>
      <c r="C321" s="6" t="s">
        <v>1320</v>
      </c>
      <c r="D321" s="6" t="s">
        <v>1335</v>
      </c>
      <c r="E321" s="7">
        <v>45369.0</v>
      </c>
      <c r="F321" s="6" t="s">
        <v>1856</v>
      </c>
      <c r="G321" s="8" t="s">
        <v>1857</v>
      </c>
      <c r="H321" s="9" t="s">
        <v>1858</v>
      </c>
      <c r="I321" s="9">
        <v>13.2</v>
      </c>
      <c r="J321" s="10">
        <v>88.0</v>
      </c>
      <c r="K321" s="9" t="s">
        <v>1859</v>
      </c>
      <c r="L321" s="9" t="s">
        <v>1860</v>
      </c>
      <c r="M321" s="9" t="s">
        <v>1861</v>
      </c>
      <c r="N321" s="11">
        <v>2024.0</v>
      </c>
    </row>
    <row r="322" ht="15.75" customHeight="1">
      <c r="A322" s="5" t="s">
        <v>15</v>
      </c>
      <c r="B322" s="6" t="str">
        <f t="array" ref="B322">XLOOKUP(C322,city_to_region!$B$5:$B$96,city_to_region!$A$5:$A$96)</f>
        <v>Карагандинская</v>
      </c>
      <c r="C322" s="6" t="s">
        <v>1320</v>
      </c>
      <c r="D322" s="6" t="s">
        <v>1862</v>
      </c>
      <c r="E322" s="7">
        <v>45373.0</v>
      </c>
      <c r="F322" s="6" t="s">
        <v>1863</v>
      </c>
      <c r="G322" s="8" t="s">
        <v>1864</v>
      </c>
      <c r="H322" s="9" t="s">
        <v>1865</v>
      </c>
      <c r="I322" s="9">
        <v>13.1</v>
      </c>
      <c r="J322" s="10">
        <v>53.0</v>
      </c>
      <c r="K322" s="9" t="s">
        <v>1866</v>
      </c>
      <c r="L322" s="9" t="s">
        <v>1867</v>
      </c>
      <c r="M322" s="9" t="s">
        <v>1868</v>
      </c>
      <c r="N322" s="11">
        <v>2024.0</v>
      </c>
    </row>
    <row r="323" ht="15.75" customHeight="1">
      <c r="A323" s="5" t="s">
        <v>15</v>
      </c>
      <c r="B323" s="6" t="str">
        <f t="array" ref="B323">XLOOKUP(C323,city_to_region!$B$5:$B$96,city_to_region!$A$5:$A$96)</f>
        <v>Карагандинская</v>
      </c>
      <c r="C323" s="6" t="s">
        <v>1320</v>
      </c>
      <c r="D323" s="6" t="s">
        <v>1335</v>
      </c>
      <c r="E323" s="7">
        <v>45374.0</v>
      </c>
      <c r="F323" s="6" t="s">
        <v>1869</v>
      </c>
      <c r="G323" s="8" t="s">
        <v>1870</v>
      </c>
      <c r="H323" s="9" t="s">
        <v>1871</v>
      </c>
      <c r="I323" s="9">
        <v>10.9</v>
      </c>
      <c r="J323" s="10">
        <v>36.0</v>
      </c>
      <c r="K323" s="9" t="s">
        <v>1872</v>
      </c>
      <c r="L323" s="9" t="s">
        <v>1873</v>
      </c>
      <c r="M323" s="9" t="s">
        <v>1874</v>
      </c>
      <c r="N323" s="11">
        <v>2024.0</v>
      </c>
    </row>
    <row r="324" ht="15.75" customHeight="1">
      <c r="A324" s="5" t="s">
        <v>15</v>
      </c>
      <c r="B324" s="6" t="str">
        <f t="array" ref="B324">XLOOKUP(C324,city_to_region!$B$5:$B$96,city_to_region!$A$5:$A$96)</f>
        <v>Карагандинская</v>
      </c>
      <c r="C324" s="6" t="s">
        <v>1320</v>
      </c>
      <c r="D324" s="6" t="s">
        <v>1335</v>
      </c>
      <c r="E324" s="7">
        <v>45374.0</v>
      </c>
      <c r="F324" s="6" t="s">
        <v>1875</v>
      </c>
      <c r="G324" s="8" t="s">
        <v>1876</v>
      </c>
      <c r="H324" s="9" t="s">
        <v>1877</v>
      </c>
      <c r="I324" s="9">
        <v>13.0</v>
      </c>
      <c r="J324" s="10">
        <v>27.0</v>
      </c>
      <c r="K324" s="9" t="s">
        <v>1878</v>
      </c>
      <c r="L324" s="9" t="s">
        <v>1879</v>
      </c>
      <c r="M324" s="9" t="s">
        <v>1880</v>
      </c>
      <c r="N324" s="11">
        <v>2024.0</v>
      </c>
    </row>
    <row r="325" ht="15.75" customHeight="1">
      <c r="A325" s="5" t="s">
        <v>15</v>
      </c>
      <c r="B325" s="6" t="str">
        <f t="array" ref="B325">XLOOKUP(C325,city_to_region!$B$5:$B$96,city_to_region!$A$5:$A$96)</f>
        <v>Карагандинская</v>
      </c>
      <c r="C325" s="6" t="s">
        <v>1320</v>
      </c>
      <c r="D325" s="6" t="s">
        <v>1335</v>
      </c>
      <c r="E325" s="7">
        <v>45374.0</v>
      </c>
      <c r="F325" s="6" t="s">
        <v>1881</v>
      </c>
      <c r="G325" s="8" t="s">
        <v>1882</v>
      </c>
      <c r="H325" s="9" t="s">
        <v>1883</v>
      </c>
      <c r="I325" s="9">
        <v>11.8</v>
      </c>
      <c r="J325" s="10">
        <v>58.0</v>
      </c>
      <c r="K325" s="9" t="s">
        <v>1884</v>
      </c>
      <c r="L325" s="9" t="s">
        <v>1885</v>
      </c>
      <c r="M325" s="9" t="s">
        <v>1886</v>
      </c>
      <c r="N325" s="11">
        <v>2024.0</v>
      </c>
    </row>
    <row r="326" ht="15.75" customHeight="1">
      <c r="A326" s="5" t="s">
        <v>15</v>
      </c>
      <c r="B326" s="6" t="str">
        <f t="array" ref="B326">XLOOKUP(C326,city_to_region!$B$5:$B$96,city_to_region!$A$5:$A$96)</f>
        <v>Карагандинская</v>
      </c>
      <c r="C326" s="6" t="s">
        <v>1320</v>
      </c>
      <c r="D326" s="6" t="s">
        <v>1335</v>
      </c>
      <c r="E326" s="7">
        <v>45374.0</v>
      </c>
      <c r="F326" s="6" t="s">
        <v>1887</v>
      </c>
      <c r="G326" s="8" t="s">
        <v>1888</v>
      </c>
      <c r="H326" s="9" t="s">
        <v>1889</v>
      </c>
      <c r="I326" s="9">
        <v>11.7</v>
      </c>
      <c r="J326" s="10">
        <v>60.0</v>
      </c>
      <c r="K326" s="9" t="s">
        <v>1890</v>
      </c>
      <c r="L326" s="9" t="s">
        <v>1891</v>
      </c>
      <c r="M326" s="9" t="s">
        <v>1892</v>
      </c>
      <c r="N326" s="11">
        <v>2024.0</v>
      </c>
    </row>
    <row r="327" ht="15.75" customHeight="1">
      <c r="A327" s="5" t="s">
        <v>15</v>
      </c>
      <c r="B327" s="6" t="str">
        <f t="array" ref="B327">XLOOKUP(C327,city_to_region!$B$5:$B$96,city_to_region!$A$5:$A$96)</f>
        <v>Карагандинская</v>
      </c>
      <c r="C327" s="6" t="s">
        <v>1320</v>
      </c>
      <c r="D327" s="6" t="s">
        <v>1335</v>
      </c>
      <c r="E327" s="7">
        <v>45374.0</v>
      </c>
      <c r="F327" s="6" t="s">
        <v>1893</v>
      </c>
      <c r="G327" s="8" t="s">
        <v>1894</v>
      </c>
      <c r="H327" s="9" t="s">
        <v>1895</v>
      </c>
      <c r="I327" s="9">
        <v>10.0</v>
      </c>
      <c r="J327" s="10">
        <v>147.0</v>
      </c>
      <c r="K327" s="9" t="s">
        <v>1896</v>
      </c>
      <c r="L327" s="9" t="s">
        <v>1897</v>
      </c>
      <c r="M327" s="9" t="s">
        <v>1898</v>
      </c>
      <c r="N327" s="11">
        <v>2024.0</v>
      </c>
    </row>
    <row r="328" ht="15.75" customHeight="1">
      <c r="A328" s="5" t="s">
        <v>15</v>
      </c>
      <c r="B328" s="6" t="str">
        <f t="array" ref="B328">XLOOKUP(C328,city_to_region!$B$5:$B$96,city_to_region!$A$5:$A$96)</f>
        <v>Карагандинская</v>
      </c>
      <c r="C328" s="6" t="s">
        <v>1320</v>
      </c>
      <c r="D328" s="6" t="s">
        <v>1335</v>
      </c>
      <c r="E328" s="7">
        <v>45374.0</v>
      </c>
      <c r="F328" s="6" t="s">
        <v>1899</v>
      </c>
      <c r="G328" s="8" t="s">
        <v>1900</v>
      </c>
      <c r="H328" s="9" t="s">
        <v>1901</v>
      </c>
      <c r="I328" s="9">
        <v>10.4</v>
      </c>
      <c r="J328" s="10">
        <v>45.0</v>
      </c>
      <c r="K328" s="9" t="s">
        <v>1902</v>
      </c>
      <c r="L328" s="9" t="s">
        <v>1903</v>
      </c>
      <c r="M328" s="9" t="s">
        <v>1904</v>
      </c>
      <c r="N328" s="11">
        <v>2024.0</v>
      </c>
    </row>
    <row r="329" ht="15.75" customHeight="1">
      <c r="A329" s="5" t="s">
        <v>15</v>
      </c>
      <c r="B329" s="6" t="str">
        <f t="array" ref="B329">XLOOKUP(C329,city_to_region!$B$5:$B$96,city_to_region!$A$5:$A$96)</f>
        <v>Карагандинская</v>
      </c>
      <c r="C329" s="6" t="s">
        <v>1320</v>
      </c>
      <c r="D329" s="6" t="s">
        <v>1335</v>
      </c>
      <c r="E329" s="7">
        <v>45374.0</v>
      </c>
      <c r="F329" s="6" t="s">
        <v>1905</v>
      </c>
      <c r="G329" s="8" t="s">
        <v>1906</v>
      </c>
      <c r="H329" s="9" t="s">
        <v>1907</v>
      </c>
      <c r="I329" s="9">
        <v>10.1</v>
      </c>
      <c r="J329" s="10">
        <v>39.0</v>
      </c>
      <c r="K329" s="9" t="s">
        <v>1908</v>
      </c>
      <c r="L329" s="9" t="s">
        <v>1909</v>
      </c>
      <c r="M329" s="9" t="s">
        <v>1910</v>
      </c>
      <c r="N329" s="11">
        <v>2024.0</v>
      </c>
    </row>
    <row r="330" ht="15.75" customHeight="1">
      <c r="A330" s="5" t="s">
        <v>15</v>
      </c>
      <c r="B330" s="6" t="str">
        <f t="array" ref="B330">XLOOKUP(C330,city_to_region!$B$5:$B$96,city_to_region!$A$5:$A$96)</f>
        <v>Карагандинская</v>
      </c>
      <c r="C330" s="6" t="s">
        <v>1320</v>
      </c>
      <c r="D330" s="6" t="s">
        <v>1335</v>
      </c>
      <c r="E330" s="7">
        <v>45375.0</v>
      </c>
      <c r="F330" s="6" t="s">
        <v>1911</v>
      </c>
      <c r="G330" s="8" t="s">
        <v>1912</v>
      </c>
      <c r="H330" s="9" t="s">
        <v>1913</v>
      </c>
      <c r="I330" s="9">
        <v>12.0</v>
      </c>
      <c r="J330" s="10">
        <v>92.0</v>
      </c>
      <c r="K330" s="9" t="s">
        <v>1914</v>
      </c>
      <c r="L330" s="9" t="s">
        <v>1915</v>
      </c>
      <c r="M330" s="9" t="s">
        <v>1916</v>
      </c>
      <c r="N330" s="11">
        <v>2024.0</v>
      </c>
    </row>
    <row r="331" ht="15.75" customHeight="1">
      <c r="A331" s="5" t="s">
        <v>15</v>
      </c>
      <c r="B331" s="6" t="str">
        <f t="array" ref="B331">XLOOKUP(C331,city_to_region!$B$5:$B$96,city_to_region!$A$5:$A$96)</f>
        <v>Карагандинская</v>
      </c>
      <c r="C331" s="6" t="s">
        <v>1320</v>
      </c>
      <c r="D331" s="6" t="s">
        <v>1335</v>
      </c>
      <c r="E331" s="7">
        <v>45377.0</v>
      </c>
      <c r="F331" s="6" t="s">
        <v>1917</v>
      </c>
      <c r="G331" s="8" t="s">
        <v>1918</v>
      </c>
      <c r="H331" s="9" t="s">
        <v>1919</v>
      </c>
      <c r="I331" s="9">
        <v>10.7</v>
      </c>
      <c r="J331" s="10">
        <v>82.0</v>
      </c>
      <c r="K331" s="9" t="s">
        <v>1920</v>
      </c>
      <c r="L331" s="9" t="s">
        <v>1921</v>
      </c>
      <c r="M331" s="9" t="s">
        <v>1922</v>
      </c>
      <c r="N331" s="11">
        <v>2024.0</v>
      </c>
    </row>
    <row r="332" ht="15.75" customHeight="1">
      <c r="A332" s="5" t="s">
        <v>15</v>
      </c>
      <c r="B332" s="6" t="str">
        <f t="array" ref="B332">XLOOKUP(C332,city_to_region!$B$5:$B$96,city_to_region!$A$5:$A$96)</f>
        <v>Карагандинская</v>
      </c>
      <c r="C332" s="6" t="s">
        <v>1320</v>
      </c>
      <c r="D332" s="6" t="s">
        <v>1335</v>
      </c>
      <c r="E332" s="7">
        <v>45377.0</v>
      </c>
      <c r="F332" s="6" t="s">
        <v>1923</v>
      </c>
      <c r="G332" s="8" t="s">
        <v>1924</v>
      </c>
      <c r="H332" s="9" t="s">
        <v>1925</v>
      </c>
      <c r="I332" s="9">
        <v>10.2</v>
      </c>
      <c r="J332" s="10">
        <v>77.0</v>
      </c>
      <c r="K332" s="9" t="s">
        <v>1926</v>
      </c>
      <c r="L332" s="9" t="s">
        <v>1927</v>
      </c>
      <c r="M332" s="9" t="s">
        <v>1928</v>
      </c>
      <c r="N332" s="11">
        <v>2024.0</v>
      </c>
    </row>
    <row r="333" ht="15.75" customHeight="1">
      <c r="A333" s="5" t="s">
        <v>15</v>
      </c>
      <c r="B333" s="6" t="str">
        <f t="array" ref="B333">XLOOKUP(C333,city_to_region!$B$5:$B$96,city_to_region!$A$5:$A$96)</f>
        <v>Карагандинская</v>
      </c>
      <c r="C333" s="6" t="s">
        <v>1320</v>
      </c>
      <c r="D333" s="6" t="s">
        <v>1335</v>
      </c>
      <c r="E333" s="7">
        <v>45564.0</v>
      </c>
      <c r="F333" s="6" t="s">
        <v>1929</v>
      </c>
      <c r="G333" s="8" t="s">
        <v>1930</v>
      </c>
      <c r="H333" s="9" t="s">
        <v>1931</v>
      </c>
      <c r="I333" s="9">
        <v>11.0</v>
      </c>
      <c r="J333" s="10">
        <v>62.0</v>
      </c>
      <c r="K333" s="9" t="s">
        <v>1932</v>
      </c>
      <c r="L333" s="9" t="s">
        <v>1933</v>
      </c>
      <c r="M333" s="9" t="s">
        <v>1934</v>
      </c>
      <c r="N333" s="11">
        <v>2024.0</v>
      </c>
    </row>
    <row r="334" ht="15.75" customHeight="1">
      <c r="A334" s="5" t="s">
        <v>15</v>
      </c>
      <c r="B334" s="6" t="str">
        <f t="array" ref="B334">XLOOKUP(C334,city_to_region!$B$5:$B$96,city_to_region!$A$5:$A$96)</f>
        <v>Карагандинская</v>
      </c>
      <c r="C334" s="6" t="s">
        <v>1320</v>
      </c>
      <c r="D334" s="6" t="s">
        <v>1335</v>
      </c>
      <c r="E334" s="8"/>
      <c r="F334" s="6" t="s">
        <v>1935</v>
      </c>
      <c r="G334" s="8" t="s">
        <v>1936</v>
      </c>
      <c r="H334" s="9" t="s">
        <v>1937</v>
      </c>
      <c r="I334" s="9">
        <v>12.1</v>
      </c>
      <c r="J334" s="10">
        <v>62.0</v>
      </c>
      <c r="K334" s="9" t="s">
        <v>1938</v>
      </c>
      <c r="L334" s="9" t="s">
        <v>1939</v>
      </c>
      <c r="M334" s="9" t="s">
        <v>1940</v>
      </c>
      <c r="N334" s="11">
        <v>2024.0</v>
      </c>
    </row>
    <row r="335" ht="15.75" customHeight="1">
      <c r="A335" s="5" t="s">
        <v>15</v>
      </c>
      <c r="B335" s="6" t="str">
        <f t="array" ref="B335">XLOOKUP(C335,city_to_region!$B$5:$B$96,city_to_region!$A$5:$A$96)</f>
        <v>Карагандинская</v>
      </c>
      <c r="C335" s="6" t="s">
        <v>1320</v>
      </c>
      <c r="D335" s="6" t="s">
        <v>1335</v>
      </c>
      <c r="E335" s="19">
        <v>45583.0</v>
      </c>
      <c r="F335" s="6" t="s">
        <v>1941</v>
      </c>
      <c r="G335" s="8" t="s">
        <v>1942</v>
      </c>
      <c r="H335" s="9" t="s">
        <v>1943</v>
      </c>
      <c r="I335" s="9">
        <v>10.9</v>
      </c>
      <c r="J335" s="10">
        <v>16.0</v>
      </c>
      <c r="K335" s="10">
        <v>0.0</v>
      </c>
      <c r="L335" s="9" t="s">
        <v>1944</v>
      </c>
      <c r="M335" s="9" t="s">
        <v>1945</v>
      </c>
      <c r="N335" s="11">
        <v>2024.0</v>
      </c>
    </row>
    <row r="336" ht="15.75" customHeight="1">
      <c r="A336" s="5" t="s">
        <v>15</v>
      </c>
      <c r="B336" s="6" t="str">
        <f t="array" ref="B336">XLOOKUP(C336,city_to_region!$B$5:$B$96,city_to_region!$A$5:$A$96)</f>
        <v>Карагандинская</v>
      </c>
      <c r="C336" s="6" t="s">
        <v>1320</v>
      </c>
      <c r="D336" s="6" t="s">
        <v>1335</v>
      </c>
      <c r="E336" s="19">
        <v>45585.0</v>
      </c>
      <c r="F336" s="6" t="s">
        <v>1946</v>
      </c>
      <c r="G336" s="8" t="s">
        <v>1947</v>
      </c>
      <c r="H336" s="9" t="s">
        <v>1948</v>
      </c>
      <c r="I336" s="9">
        <v>10.5</v>
      </c>
      <c r="J336" s="10">
        <v>34.0</v>
      </c>
      <c r="K336" s="9" t="s">
        <v>1949</v>
      </c>
      <c r="L336" s="9" t="s">
        <v>1950</v>
      </c>
      <c r="M336" s="9" t="s">
        <v>1951</v>
      </c>
      <c r="N336" s="11">
        <v>2024.0</v>
      </c>
    </row>
    <row r="337" ht="15.75" customHeight="1">
      <c r="A337" s="5" t="s">
        <v>15</v>
      </c>
      <c r="B337" s="6" t="str">
        <f t="array" ref="B337">XLOOKUP(C337,city_to_region!$B$5:$B$96,city_to_region!$A$5:$A$96)</f>
        <v>Карагандинская</v>
      </c>
      <c r="C337" s="6" t="s">
        <v>1320</v>
      </c>
      <c r="D337" s="6" t="s">
        <v>1335</v>
      </c>
      <c r="E337" s="19">
        <v>45585.0</v>
      </c>
      <c r="F337" s="6" t="s">
        <v>1952</v>
      </c>
      <c r="G337" s="8" t="s">
        <v>1953</v>
      </c>
      <c r="H337" s="9" t="s">
        <v>1954</v>
      </c>
      <c r="I337" s="9">
        <v>13.4</v>
      </c>
      <c r="J337" s="10">
        <v>40.0</v>
      </c>
      <c r="K337" s="9" t="s">
        <v>1955</v>
      </c>
      <c r="L337" s="9" t="s">
        <v>1956</v>
      </c>
      <c r="M337" s="9" t="s">
        <v>1957</v>
      </c>
      <c r="N337" s="11">
        <v>2024.0</v>
      </c>
    </row>
    <row r="338" ht="15.75" customHeight="1">
      <c r="A338" s="5" t="s">
        <v>15</v>
      </c>
      <c r="B338" s="6" t="str">
        <f t="array" ref="B338">XLOOKUP(C338,city_to_region!$B$5:$B$96,city_to_region!$A$5:$A$96)</f>
        <v>Карагандинская</v>
      </c>
      <c r="C338" s="6" t="s">
        <v>1320</v>
      </c>
      <c r="D338" s="6" t="s">
        <v>1335</v>
      </c>
      <c r="E338" s="19">
        <v>45585.0</v>
      </c>
      <c r="F338" s="6" t="s">
        <v>1958</v>
      </c>
      <c r="G338" s="8" t="s">
        <v>1959</v>
      </c>
      <c r="H338" s="9" t="s">
        <v>1960</v>
      </c>
      <c r="I338" s="9">
        <v>13.0</v>
      </c>
      <c r="J338" s="10">
        <v>35.0</v>
      </c>
      <c r="K338" s="9" t="s">
        <v>1961</v>
      </c>
      <c r="L338" s="9" t="s">
        <v>1962</v>
      </c>
      <c r="M338" s="9" t="s">
        <v>1963</v>
      </c>
      <c r="N338" s="11">
        <v>2024.0</v>
      </c>
    </row>
    <row r="339" ht="15.75" customHeight="1">
      <c r="A339" s="5" t="s">
        <v>15</v>
      </c>
      <c r="B339" s="6" t="str">
        <f t="array" ref="B339">XLOOKUP(C339,city_to_region!$B$5:$B$96,city_to_region!$A$5:$A$96)</f>
        <v>Карагандинская</v>
      </c>
      <c r="C339" s="6" t="s">
        <v>1320</v>
      </c>
      <c r="D339" s="6" t="s">
        <v>1335</v>
      </c>
      <c r="E339" s="19">
        <v>45585.0</v>
      </c>
      <c r="F339" s="6" t="s">
        <v>1964</v>
      </c>
      <c r="G339" s="8" t="s">
        <v>1965</v>
      </c>
      <c r="H339" s="9" t="s">
        <v>1966</v>
      </c>
      <c r="I339" s="9">
        <v>10.6</v>
      </c>
      <c r="J339" s="10">
        <v>28.0</v>
      </c>
      <c r="K339" s="9" t="s">
        <v>1967</v>
      </c>
      <c r="L339" s="9" t="s">
        <v>1968</v>
      </c>
      <c r="M339" s="9" t="s">
        <v>1969</v>
      </c>
      <c r="N339" s="11">
        <v>2024.0</v>
      </c>
    </row>
    <row r="340" ht="15.75" customHeight="1">
      <c r="A340" s="5" t="s">
        <v>15</v>
      </c>
      <c r="B340" s="6" t="str">
        <f t="array" ref="B340">XLOOKUP(C340,city_to_region!$B$5:$B$96,city_to_region!$A$5:$A$96)</f>
        <v>Карагандинская</v>
      </c>
      <c r="C340" s="6" t="s">
        <v>1320</v>
      </c>
      <c r="D340" s="6" t="s">
        <v>1335</v>
      </c>
      <c r="E340" s="19">
        <v>45585.0</v>
      </c>
      <c r="F340" s="6" t="s">
        <v>1970</v>
      </c>
      <c r="G340" s="8" t="s">
        <v>1971</v>
      </c>
      <c r="H340" s="9" t="s">
        <v>1972</v>
      </c>
      <c r="I340" s="9">
        <v>10.6</v>
      </c>
      <c r="J340" s="10">
        <v>51.0</v>
      </c>
      <c r="K340" s="9" t="s">
        <v>1973</v>
      </c>
      <c r="L340" s="9" t="s">
        <v>1974</v>
      </c>
      <c r="M340" s="9" t="s">
        <v>1975</v>
      </c>
      <c r="N340" s="11">
        <v>2024.0</v>
      </c>
    </row>
    <row r="341" ht="15.75" customHeight="1">
      <c r="A341" s="5" t="s">
        <v>15</v>
      </c>
      <c r="B341" s="6" t="str">
        <f t="array" ref="B341">XLOOKUP(C341,city_to_region!$B$5:$B$96,city_to_region!$A$5:$A$96)</f>
        <v>Карагандинская</v>
      </c>
      <c r="C341" s="6" t="s">
        <v>1320</v>
      </c>
      <c r="D341" s="6" t="s">
        <v>1335</v>
      </c>
      <c r="E341" s="19">
        <v>45585.0</v>
      </c>
      <c r="F341" s="6" t="s">
        <v>1976</v>
      </c>
      <c r="G341" s="8" t="s">
        <v>1977</v>
      </c>
      <c r="H341" s="9" t="s">
        <v>1978</v>
      </c>
      <c r="I341" s="9">
        <v>13.8</v>
      </c>
      <c r="J341" s="10">
        <v>63.0</v>
      </c>
      <c r="K341" s="9" t="s">
        <v>1979</v>
      </c>
      <c r="L341" s="9" t="s">
        <v>1980</v>
      </c>
      <c r="M341" s="9" t="s">
        <v>1981</v>
      </c>
      <c r="N341" s="11">
        <v>2024.0</v>
      </c>
    </row>
    <row r="342" ht="15.75" customHeight="1">
      <c r="A342" s="5" t="s">
        <v>15</v>
      </c>
      <c r="B342" s="6" t="str">
        <f t="array" ref="B342">XLOOKUP(C342,city_to_region!$B$5:$B$96,city_to_region!$A$5:$A$96)</f>
        <v>Карагандинская</v>
      </c>
      <c r="C342" s="6" t="s">
        <v>1320</v>
      </c>
      <c r="D342" s="6" t="s">
        <v>1335</v>
      </c>
      <c r="E342" s="19">
        <v>45585.0</v>
      </c>
      <c r="F342" s="6" t="s">
        <v>1982</v>
      </c>
      <c r="G342" s="8" t="s">
        <v>1983</v>
      </c>
      <c r="H342" s="9" t="s">
        <v>1984</v>
      </c>
      <c r="I342" s="9">
        <v>15.3</v>
      </c>
      <c r="J342" s="10">
        <v>22.0</v>
      </c>
      <c r="K342" s="10">
        <v>0.0</v>
      </c>
      <c r="L342" s="9" t="s">
        <v>1985</v>
      </c>
      <c r="M342" s="9" t="s">
        <v>1986</v>
      </c>
      <c r="N342" s="11">
        <v>2024.0</v>
      </c>
    </row>
    <row r="343" ht="15.75" customHeight="1">
      <c r="A343" s="5" t="s">
        <v>15</v>
      </c>
      <c r="B343" s="6" t="str">
        <f t="array" ref="B343">XLOOKUP(C343,city_to_region!$B$5:$B$96,city_to_region!$A$5:$A$96)</f>
        <v>Карагандинская</v>
      </c>
      <c r="C343" s="6" t="s">
        <v>1320</v>
      </c>
      <c r="D343" s="6" t="s">
        <v>1335</v>
      </c>
      <c r="E343" s="19">
        <v>45585.0</v>
      </c>
      <c r="F343" s="6" t="s">
        <v>1987</v>
      </c>
      <c r="G343" s="8" t="s">
        <v>1988</v>
      </c>
      <c r="H343" s="9" t="s">
        <v>1989</v>
      </c>
      <c r="I343" s="9">
        <v>13.3</v>
      </c>
      <c r="J343" s="10">
        <v>10.0</v>
      </c>
      <c r="K343" s="10">
        <v>0.0</v>
      </c>
      <c r="L343" s="9" t="s">
        <v>1990</v>
      </c>
      <c r="M343" s="9" t="s">
        <v>1991</v>
      </c>
      <c r="N343" s="11">
        <v>2024.0</v>
      </c>
    </row>
    <row r="344" ht="15.75" customHeight="1">
      <c r="A344" s="5" t="s">
        <v>15</v>
      </c>
      <c r="B344" s="6" t="str">
        <f t="array" ref="B344">XLOOKUP(C344,city_to_region!$B$5:$B$96,city_to_region!$A$5:$A$96)</f>
        <v>Карагандинская</v>
      </c>
      <c r="C344" s="6" t="s">
        <v>1320</v>
      </c>
      <c r="D344" s="6" t="s">
        <v>1335</v>
      </c>
      <c r="E344" s="19">
        <v>45585.0</v>
      </c>
      <c r="F344" s="6" t="s">
        <v>1992</v>
      </c>
      <c r="G344" s="8" t="s">
        <v>1993</v>
      </c>
      <c r="H344" s="9" t="s">
        <v>1994</v>
      </c>
      <c r="I344" s="9">
        <v>11.3</v>
      </c>
      <c r="J344" s="10">
        <v>79.0</v>
      </c>
      <c r="K344" s="9" t="s">
        <v>1995</v>
      </c>
      <c r="L344" s="9" t="s">
        <v>1996</v>
      </c>
      <c r="M344" s="9" t="s">
        <v>1997</v>
      </c>
      <c r="N344" s="11">
        <v>2024.0</v>
      </c>
    </row>
    <row r="345" ht="15.75" customHeight="1">
      <c r="A345" s="5" t="s">
        <v>15</v>
      </c>
      <c r="B345" s="6" t="str">
        <f t="array" ref="B345">XLOOKUP(C345,city_to_region!$B$5:$B$96,city_to_region!$A$5:$A$96)</f>
        <v>Карагандинская</v>
      </c>
      <c r="C345" s="6" t="s">
        <v>1320</v>
      </c>
      <c r="D345" s="6" t="s">
        <v>1335</v>
      </c>
      <c r="E345" s="19">
        <v>45585.0</v>
      </c>
      <c r="F345" s="6" t="s">
        <v>1998</v>
      </c>
      <c r="G345" s="8" t="s">
        <v>1999</v>
      </c>
      <c r="H345" s="9" t="s">
        <v>2000</v>
      </c>
      <c r="I345" s="9">
        <v>10.3</v>
      </c>
      <c r="J345" s="10">
        <v>11.0</v>
      </c>
      <c r="K345" s="10">
        <v>0.0</v>
      </c>
      <c r="L345" s="9" t="s">
        <v>2001</v>
      </c>
      <c r="M345" s="9" t="s">
        <v>2002</v>
      </c>
      <c r="N345" s="11">
        <v>2024.0</v>
      </c>
    </row>
    <row r="346" ht="15.75" customHeight="1">
      <c r="A346" s="5" t="s">
        <v>15</v>
      </c>
      <c r="B346" s="6" t="str">
        <f t="array" ref="B346">XLOOKUP(C346,city_to_region!$B$5:$B$96,city_to_region!$A$5:$A$96)</f>
        <v>Карагандинская</v>
      </c>
      <c r="C346" s="6" t="s">
        <v>1320</v>
      </c>
      <c r="D346" s="6" t="s">
        <v>1335</v>
      </c>
      <c r="E346" s="19">
        <v>45585.0</v>
      </c>
      <c r="F346" s="6" t="s">
        <v>2003</v>
      </c>
      <c r="G346" s="8" t="s">
        <v>2004</v>
      </c>
      <c r="H346" s="9" t="s">
        <v>2005</v>
      </c>
      <c r="I346" s="9">
        <v>10.4</v>
      </c>
      <c r="J346" s="10">
        <v>21.0</v>
      </c>
      <c r="K346" s="10">
        <v>0.0</v>
      </c>
      <c r="L346" s="9" t="s">
        <v>2006</v>
      </c>
      <c r="M346" s="9" t="s">
        <v>2007</v>
      </c>
      <c r="N346" s="11">
        <v>2024.0</v>
      </c>
    </row>
    <row r="347" ht="15.75" customHeight="1">
      <c r="A347" s="5" t="s">
        <v>15</v>
      </c>
      <c r="B347" s="6" t="str">
        <f t="array" ref="B347">XLOOKUP(C347,city_to_region!$B$5:$B$96,city_to_region!$A$5:$A$96)</f>
        <v>Карагандинская</v>
      </c>
      <c r="C347" s="6" t="s">
        <v>1320</v>
      </c>
      <c r="D347" s="6" t="s">
        <v>2008</v>
      </c>
      <c r="E347" s="19">
        <v>45612.0</v>
      </c>
      <c r="F347" s="6" t="s">
        <v>2009</v>
      </c>
      <c r="G347" s="8" t="s">
        <v>2010</v>
      </c>
      <c r="H347" s="9" t="s">
        <v>2011</v>
      </c>
      <c r="I347" s="9">
        <v>11.8</v>
      </c>
      <c r="J347" s="10">
        <v>89.0</v>
      </c>
      <c r="K347" s="9" t="s">
        <v>2012</v>
      </c>
      <c r="L347" s="9" t="s">
        <v>2013</v>
      </c>
      <c r="M347" s="9" t="s">
        <v>2014</v>
      </c>
      <c r="N347" s="11">
        <v>2024.0</v>
      </c>
    </row>
    <row r="348" ht="15.75" customHeight="1">
      <c r="A348" s="5" t="s">
        <v>15</v>
      </c>
      <c r="B348" s="6" t="str">
        <f t="array" ref="B348">XLOOKUP(C348,city_to_region!$B$5:$B$96,city_to_region!$A$5:$A$96)</f>
        <v>Карагандинская</v>
      </c>
      <c r="C348" s="6" t="s">
        <v>1320</v>
      </c>
      <c r="D348" s="6" t="s">
        <v>1557</v>
      </c>
      <c r="E348" s="19">
        <v>45612.0</v>
      </c>
      <c r="F348" s="6" t="s">
        <v>2015</v>
      </c>
      <c r="G348" s="8" t="s">
        <v>2016</v>
      </c>
      <c r="H348" s="9" t="s">
        <v>2017</v>
      </c>
      <c r="I348" s="9">
        <v>11.8</v>
      </c>
      <c r="J348" s="10">
        <v>112.0</v>
      </c>
      <c r="K348" s="9" t="s">
        <v>2018</v>
      </c>
      <c r="L348" s="9" t="s">
        <v>2019</v>
      </c>
      <c r="M348" s="9" t="s">
        <v>2020</v>
      </c>
      <c r="N348" s="11">
        <v>2024.0</v>
      </c>
    </row>
    <row r="349" ht="15.75" customHeight="1">
      <c r="A349" s="5" t="s">
        <v>15</v>
      </c>
      <c r="B349" s="6" t="str">
        <f t="array" ref="B349">XLOOKUP(C349,city_to_region!$B$5:$B$96,city_to_region!$A$5:$A$96)</f>
        <v>Карагандинская</v>
      </c>
      <c r="C349" s="6" t="s">
        <v>1320</v>
      </c>
      <c r="D349" s="6" t="s">
        <v>2021</v>
      </c>
      <c r="E349" s="19">
        <v>45612.0</v>
      </c>
      <c r="F349" s="6" t="s">
        <v>2022</v>
      </c>
      <c r="G349" s="8" t="s">
        <v>2023</v>
      </c>
      <c r="H349" s="9" t="s">
        <v>2024</v>
      </c>
      <c r="I349" s="9">
        <v>10.7</v>
      </c>
      <c r="J349" s="10">
        <v>71.0</v>
      </c>
      <c r="K349" s="9" t="s">
        <v>2025</v>
      </c>
      <c r="L349" s="9" t="s">
        <v>2026</v>
      </c>
      <c r="M349" s="9" t="s">
        <v>2027</v>
      </c>
      <c r="N349" s="11">
        <v>2024.0</v>
      </c>
    </row>
    <row r="350" ht="15.75" customHeight="1">
      <c r="A350" s="5" t="s">
        <v>15</v>
      </c>
      <c r="B350" s="6" t="str">
        <f t="array" ref="B350">XLOOKUP(C350,city_to_region!$B$5:$B$96,city_to_region!$A$5:$A$96)</f>
        <v>Карагандинская</v>
      </c>
      <c r="C350" s="6" t="s">
        <v>1320</v>
      </c>
      <c r="D350" s="6" t="s">
        <v>1594</v>
      </c>
      <c r="E350" s="19">
        <v>45613.0</v>
      </c>
      <c r="F350" s="6" t="s">
        <v>2028</v>
      </c>
      <c r="G350" s="8" t="s">
        <v>2029</v>
      </c>
      <c r="H350" s="9" t="s">
        <v>2030</v>
      </c>
      <c r="I350" s="9">
        <v>11.5</v>
      </c>
      <c r="J350" s="10">
        <v>58.0</v>
      </c>
      <c r="K350" s="9" t="s">
        <v>2031</v>
      </c>
      <c r="L350" s="9" t="s">
        <v>2032</v>
      </c>
      <c r="M350" s="9" t="s">
        <v>2033</v>
      </c>
      <c r="N350" s="11">
        <v>2024.0</v>
      </c>
    </row>
    <row r="351" ht="15.75" customHeight="1">
      <c r="A351" s="5" t="s">
        <v>15</v>
      </c>
      <c r="B351" s="6" t="str">
        <f t="array" ref="B351">XLOOKUP(C351,city_to_region!$B$5:$B$96,city_to_region!$A$5:$A$96)</f>
        <v>Карагандинская</v>
      </c>
      <c r="C351" s="6" t="s">
        <v>1320</v>
      </c>
      <c r="D351" s="6" t="s">
        <v>2034</v>
      </c>
      <c r="E351" s="19">
        <v>45613.0</v>
      </c>
      <c r="F351" s="6" t="s">
        <v>2035</v>
      </c>
      <c r="G351" s="8" t="s">
        <v>2036</v>
      </c>
      <c r="H351" s="9" t="s">
        <v>2037</v>
      </c>
      <c r="I351" s="9">
        <v>16.1</v>
      </c>
      <c r="J351" s="10">
        <v>50.0</v>
      </c>
      <c r="K351" s="9" t="s">
        <v>2038</v>
      </c>
      <c r="L351" s="9" t="s">
        <v>2039</v>
      </c>
      <c r="M351" s="9" t="s">
        <v>2040</v>
      </c>
      <c r="N351" s="11">
        <v>2024.0</v>
      </c>
    </row>
    <row r="352" ht="15.75" customHeight="1">
      <c r="A352" s="5" t="s">
        <v>15</v>
      </c>
      <c r="B352" s="6" t="str">
        <f t="array" ref="B352">XLOOKUP(C352,city_to_region!$B$5:$B$96,city_to_region!$A$5:$A$96)</f>
        <v>Карагандинская</v>
      </c>
      <c r="C352" s="6" t="s">
        <v>1320</v>
      </c>
      <c r="D352" s="6" t="s">
        <v>1671</v>
      </c>
      <c r="E352" s="19">
        <v>45613.0</v>
      </c>
      <c r="F352" s="6" t="s">
        <v>2041</v>
      </c>
      <c r="G352" s="8" t="s">
        <v>2042</v>
      </c>
      <c r="H352" s="9" t="s">
        <v>2043</v>
      </c>
      <c r="I352" s="9">
        <v>10.4</v>
      </c>
      <c r="J352" s="10">
        <v>73.0</v>
      </c>
      <c r="K352" s="9" t="s">
        <v>2044</v>
      </c>
      <c r="L352" s="9" t="s">
        <v>2045</v>
      </c>
      <c r="M352" s="9" t="s">
        <v>2046</v>
      </c>
      <c r="N352" s="11">
        <v>2024.0</v>
      </c>
    </row>
    <row r="353" ht="15.75" customHeight="1">
      <c r="A353" s="5" t="s">
        <v>15</v>
      </c>
      <c r="B353" s="6" t="str">
        <f t="array" ref="B353">XLOOKUP(C353,city_to_region!$B$5:$B$96,city_to_region!$A$5:$A$96)</f>
        <v>Карагандинская</v>
      </c>
      <c r="C353" s="6" t="s">
        <v>1320</v>
      </c>
      <c r="D353" s="6" t="s">
        <v>2047</v>
      </c>
      <c r="E353" s="19">
        <v>45613.0</v>
      </c>
      <c r="F353" s="6" t="s">
        <v>2048</v>
      </c>
      <c r="G353" s="8" t="s">
        <v>2049</v>
      </c>
      <c r="H353" s="9" t="s">
        <v>2050</v>
      </c>
      <c r="I353" s="9">
        <v>10.3</v>
      </c>
      <c r="J353" s="10">
        <v>26.0</v>
      </c>
      <c r="K353" s="9" t="s">
        <v>2051</v>
      </c>
      <c r="L353" s="9" t="s">
        <v>2052</v>
      </c>
      <c r="M353" s="9" t="s">
        <v>2053</v>
      </c>
      <c r="N353" s="11">
        <v>2024.0</v>
      </c>
    </row>
    <row r="354" ht="15.75" customHeight="1">
      <c r="A354" s="5" t="s">
        <v>15</v>
      </c>
      <c r="B354" s="6" t="str">
        <f t="array" ref="B354">XLOOKUP(C354,city_to_region!$B$5:$B$96,city_to_region!$A$5:$A$96)</f>
        <v>Карагандинская</v>
      </c>
      <c r="C354" s="6" t="s">
        <v>1320</v>
      </c>
      <c r="D354" s="6" t="s">
        <v>1685</v>
      </c>
      <c r="E354" s="19">
        <v>45614.0</v>
      </c>
      <c r="F354" s="6" t="s">
        <v>2054</v>
      </c>
      <c r="G354" s="8" t="s">
        <v>2055</v>
      </c>
      <c r="H354" s="9" t="s">
        <v>2056</v>
      </c>
      <c r="I354" s="16">
        <v>10.0</v>
      </c>
      <c r="J354" s="10">
        <v>51.0</v>
      </c>
      <c r="K354" s="9" t="s">
        <v>2057</v>
      </c>
      <c r="L354" s="9" t="s">
        <v>2058</v>
      </c>
      <c r="M354" s="9" t="s">
        <v>2059</v>
      </c>
      <c r="N354" s="11">
        <v>2024.0</v>
      </c>
    </row>
    <row r="355" ht="15.75" customHeight="1">
      <c r="A355" s="5" t="s">
        <v>15</v>
      </c>
      <c r="B355" s="6" t="str">
        <f t="array" ref="B355">XLOOKUP(C355,city_to_region!$B$5:$B$96,city_to_region!$A$5:$A$96)</f>
        <v>Карагандинская</v>
      </c>
      <c r="C355" s="6" t="s">
        <v>1320</v>
      </c>
      <c r="D355" s="6" t="s">
        <v>2060</v>
      </c>
      <c r="E355" s="19">
        <v>45614.0</v>
      </c>
      <c r="F355" s="6" t="s">
        <v>2061</v>
      </c>
      <c r="G355" s="8" t="s">
        <v>2062</v>
      </c>
      <c r="H355" s="9" t="s">
        <v>2063</v>
      </c>
      <c r="I355" s="9">
        <v>12.1</v>
      </c>
      <c r="J355" s="10">
        <v>59.0</v>
      </c>
      <c r="K355" s="9" t="s">
        <v>2064</v>
      </c>
      <c r="L355" s="9" t="s">
        <v>2065</v>
      </c>
      <c r="M355" s="9" t="s">
        <v>2066</v>
      </c>
      <c r="N355" s="11">
        <v>2024.0</v>
      </c>
    </row>
    <row r="356" ht="15.75" customHeight="1">
      <c r="A356" s="5" t="s">
        <v>15</v>
      </c>
      <c r="B356" s="6" t="str">
        <f t="array" ref="B356">XLOOKUP(C356,city_to_region!$B$5:$B$96,city_to_region!$A$5:$A$96)</f>
        <v>Карагандинская</v>
      </c>
      <c r="C356" s="6" t="s">
        <v>1320</v>
      </c>
      <c r="D356" s="6" t="s">
        <v>1699</v>
      </c>
      <c r="E356" s="19">
        <v>45614.0</v>
      </c>
      <c r="F356" s="6" t="s">
        <v>2067</v>
      </c>
      <c r="G356" s="8" t="s">
        <v>2068</v>
      </c>
      <c r="H356" s="9" t="s">
        <v>2069</v>
      </c>
      <c r="I356" s="9">
        <v>12.7</v>
      </c>
      <c r="J356" s="10">
        <v>53.0</v>
      </c>
      <c r="K356" s="9" t="s">
        <v>2070</v>
      </c>
      <c r="L356" s="9" t="s">
        <v>2071</v>
      </c>
      <c r="M356" s="9" t="s">
        <v>2072</v>
      </c>
      <c r="N356" s="11">
        <v>2024.0</v>
      </c>
    </row>
    <row r="357" ht="15.75" customHeight="1">
      <c r="A357" s="5" t="s">
        <v>15</v>
      </c>
      <c r="B357" s="6" t="str">
        <f t="array" ref="B357">XLOOKUP(C357,city_to_region!$B$5:$B$96,city_to_region!$A$5:$A$96)</f>
        <v>Карагандинская</v>
      </c>
      <c r="C357" s="6" t="s">
        <v>1320</v>
      </c>
      <c r="D357" s="6" t="s">
        <v>2073</v>
      </c>
      <c r="E357" s="19">
        <v>45614.0</v>
      </c>
      <c r="F357" s="6" t="s">
        <v>2074</v>
      </c>
      <c r="G357" s="8" t="s">
        <v>2075</v>
      </c>
      <c r="H357" s="9" t="s">
        <v>2076</v>
      </c>
      <c r="I357" s="9">
        <v>12.5</v>
      </c>
      <c r="J357" s="10">
        <v>71.0</v>
      </c>
      <c r="K357" s="9" t="s">
        <v>2077</v>
      </c>
      <c r="L357" s="9" t="s">
        <v>2078</v>
      </c>
      <c r="M357" s="9" t="s">
        <v>2079</v>
      </c>
      <c r="N357" s="11">
        <v>2024.0</v>
      </c>
    </row>
    <row r="358" ht="15.75" customHeight="1">
      <c r="A358" s="5" t="s">
        <v>15</v>
      </c>
      <c r="B358" s="6" t="str">
        <f t="array" ref="B358">XLOOKUP(C358,city_to_region!$B$5:$B$96,city_to_region!$A$5:$A$96)</f>
        <v>Карагандинская</v>
      </c>
      <c r="C358" s="6" t="s">
        <v>1320</v>
      </c>
      <c r="D358" s="6" t="s">
        <v>2080</v>
      </c>
      <c r="E358" s="19">
        <v>45614.0</v>
      </c>
      <c r="F358" s="6" t="s">
        <v>2081</v>
      </c>
      <c r="G358" s="8" t="s">
        <v>2082</v>
      </c>
      <c r="H358" s="9" t="s">
        <v>2083</v>
      </c>
      <c r="I358" s="9">
        <v>13.9</v>
      </c>
      <c r="J358" s="10">
        <v>92.0</v>
      </c>
      <c r="K358" s="9" t="s">
        <v>2084</v>
      </c>
      <c r="L358" s="9" t="s">
        <v>2085</v>
      </c>
      <c r="M358" s="9" t="s">
        <v>2086</v>
      </c>
      <c r="N358" s="11">
        <v>2024.0</v>
      </c>
    </row>
    <row r="359" ht="15.75" customHeight="1">
      <c r="A359" s="5" t="s">
        <v>15</v>
      </c>
      <c r="B359" s="6" t="str">
        <f t="array" ref="B359">XLOOKUP(C359,city_to_region!$B$5:$B$96,city_to_region!$A$5:$A$96)</f>
        <v>Карагандинская</v>
      </c>
      <c r="C359" s="6" t="s">
        <v>1320</v>
      </c>
      <c r="D359" s="6" t="s">
        <v>2087</v>
      </c>
      <c r="E359" s="19">
        <v>45614.0</v>
      </c>
      <c r="F359" s="6" t="s">
        <v>2088</v>
      </c>
      <c r="G359" s="8" t="s">
        <v>2089</v>
      </c>
      <c r="H359" s="9" t="s">
        <v>2090</v>
      </c>
      <c r="I359" s="9">
        <v>15.6</v>
      </c>
      <c r="J359" s="10">
        <v>127.0</v>
      </c>
      <c r="K359" s="9" t="s">
        <v>2091</v>
      </c>
      <c r="L359" s="9" t="s">
        <v>2092</v>
      </c>
      <c r="M359" s="9" t="s">
        <v>2093</v>
      </c>
      <c r="N359" s="11">
        <v>2024.0</v>
      </c>
    </row>
    <row r="360" ht="15.75" customHeight="1">
      <c r="A360" s="5" t="s">
        <v>15</v>
      </c>
      <c r="B360" s="6" t="str">
        <f t="array" ref="B360">XLOOKUP(C360,city_to_region!$B$5:$B$96,city_to_region!$A$5:$A$96)</f>
        <v>Карагандинская</v>
      </c>
      <c r="C360" s="6" t="s">
        <v>1320</v>
      </c>
      <c r="D360" s="6" t="s">
        <v>2094</v>
      </c>
      <c r="E360" s="19">
        <v>45614.0</v>
      </c>
      <c r="F360" s="6" t="s">
        <v>2095</v>
      </c>
      <c r="G360" s="8" t="s">
        <v>2096</v>
      </c>
      <c r="H360" s="9" t="s">
        <v>2097</v>
      </c>
      <c r="I360" s="9">
        <v>18.2</v>
      </c>
      <c r="J360" s="10">
        <v>85.0</v>
      </c>
      <c r="K360" s="9" t="s">
        <v>2098</v>
      </c>
      <c r="L360" s="9" t="s">
        <v>2099</v>
      </c>
      <c r="M360" s="9" t="s">
        <v>2100</v>
      </c>
      <c r="N360" s="11">
        <v>2024.0</v>
      </c>
    </row>
    <row r="361" ht="15.75" customHeight="1">
      <c r="A361" s="5" t="s">
        <v>15</v>
      </c>
      <c r="B361" s="6" t="str">
        <f t="array" ref="B361">XLOOKUP(C361,city_to_region!$B$5:$B$96,city_to_region!$A$5:$A$96)</f>
        <v>Карагандинская</v>
      </c>
      <c r="C361" s="6" t="s">
        <v>1320</v>
      </c>
      <c r="D361" s="6" t="s">
        <v>2094</v>
      </c>
      <c r="E361" s="19">
        <v>45614.0</v>
      </c>
      <c r="F361" s="6" t="s">
        <v>2101</v>
      </c>
      <c r="G361" s="8" t="s">
        <v>2102</v>
      </c>
      <c r="H361" s="9" t="s">
        <v>2103</v>
      </c>
      <c r="I361" s="9">
        <v>19.4</v>
      </c>
      <c r="J361" s="10">
        <v>42.0</v>
      </c>
      <c r="K361" s="9" t="s">
        <v>2104</v>
      </c>
      <c r="L361" s="9" t="s">
        <v>2105</v>
      </c>
      <c r="M361" s="9" t="s">
        <v>2106</v>
      </c>
      <c r="N361" s="11">
        <v>2024.0</v>
      </c>
    </row>
    <row r="362" ht="15.75" customHeight="1">
      <c r="A362" s="5" t="s">
        <v>15</v>
      </c>
      <c r="B362" s="6" t="str">
        <f t="array" ref="B362">XLOOKUP(C362,city_to_region!$B$5:$B$96,city_to_region!$A$5:$A$96)</f>
        <v>Карагандинская</v>
      </c>
      <c r="C362" s="6" t="s">
        <v>1320</v>
      </c>
      <c r="D362" s="6" t="s">
        <v>2094</v>
      </c>
      <c r="E362" s="19">
        <v>45615.0</v>
      </c>
      <c r="F362" s="6" t="s">
        <v>2107</v>
      </c>
      <c r="G362" s="8" t="s">
        <v>2108</v>
      </c>
      <c r="H362" s="9" t="s">
        <v>2109</v>
      </c>
      <c r="I362" s="9">
        <v>19.8</v>
      </c>
      <c r="J362" s="10">
        <v>34.0</v>
      </c>
      <c r="K362" s="9" t="s">
        <v>2110</v>
      </c>
      <c r="L362" s="9" t="s">
        <v>2111</v>
      </c>
      <c r="M362" s="9" t="s">
        <v>2112</v>
      </c>
      <c r="N362" s="11">
        <v>2024.0</v>
      </c>
    </row>
    <row r="363" ht="15.75" customHeight="1">
      <c r="A363" s="5" t="s">
        <v>15</v>
      </c>
      <c r="B363" s="6" t="str">
        <f t="array" ref="B363">XLOOKUP(C363,city_to_region!$B$5:$B$96,city_to_region!$A$5:$A$96)</f>
        <v>Карагандинская</v>
      </c>
      <c r="C363" s="6" t="s">
        <v>1320</v>
      </c>
      <c r="D363" s="6" t="s">
        <v>2094</v>
      </c>
      <c r="E363" s="19">
        <v>45615.0</v>
      </c>
      <c r="F363" s="6" t="s">
        <v>2113</v>
      </c>
      <c r="G363" s="8" t="s">
        <v>2114</v>
      </c>
      <c r="H363" s="9" t="s">
        <v>2115</v>
      </c>
      <c r="I363" s="16">
        <v>16.0</v>
      </c>
      <c r="J363" s="10">
        <v>96.0</v>
      </c>
      <c r="K363" s="9" t="s">
        <v>2116</v>
      </c>
      <c r="L363" s="9" t="s">
        <v>2117</v>
      </c>
      <c r="M363" s="9" t="s">
        <v>2118</v>
      </c>
      <c r="N363" s="11">
        <v>2024.0</v>
      </c>
    </row>
    <row r="364" ht="15.75" customHeight="1">
      <c r="A364" s="5" t="s">
        <v>15</v>
      </c>
      <c r="B364" s="6" t="str">
        <f t="array" ref="B364">XLOOKUP(C364,city_to_region!$B$5:$B$96,city_to_region!$A$5:$A$96)</f>
        <v>Карагандинская</v>
      </c>
      <c r="C364" s="6" t="s">
        <v>1320</v>
      </c>
      <c r="D364" s="6" t="s">
        <v>2094</v>
      </c>
      <c r="E364" s="19">
        <v>45615.0</v>
      </c>
      <c r="F364" s="6" t="s">
        <v>2119</v>
      </c>
      <c r="G364" s="8" t="s">
        <v>2120</v>
      </c>
      <c r="H364" s="9" t="s">
        <v>2121</v>
      </c>
      <c r="I364" s="9">
        <v>11.1</v>
      </c>
      <c r="J364" s="10">
        <v>131.0</v>
      </c>
      <c r="K364" s="9" t="s">
        <v>2122</v>
      </c>
      <c r="L364" s="9" t="s">
        <v>2123</v>
      </c>
      <c r="M364" s="9" t="s">
        <v>2124</v>
      </c>
      <c r="N364" s="11">
        <v>2024.0</v>
      </c>
    </row>
    <row r="365" ht="15.75" customHeight="1">
      <c r="A365" s="5" t="s">
        <v>15</v>
      </c>
      <c r="B365" s="6" t="str">
        <f t="array" ref="B365">XLOOKUP(C365,city_to_region!$B$5:$B$96,city_to_region!$A$5:$A$96)</f>
        <v>Карагандинская</v>
      </c>
      <c r="C365" s="6" t="s">
        <v>1320</v>
      </c>
      <c r="D365" s="6" t="s">
        <v>2094</v>
      </c>
      <c r="E365" s="19">
        <v>45615.0</v>
      </c>
      <c r="F365" s="6" t="s">
        <v>2125</v>
      </c>
      <c r="G365" s="8" t="s">
        <v>2126</v>
      </c>
      <c r="H365" s="9" t="s">
        <v>2127</v>
      </c>
      <c r="I365" s="16">
        <v>13.0</v>
      </c>
      <c r="J365" s="10">
        <v>49.0</v>
      </c>
      <c r="K365" s="9" t="s">
        <v>2128</v>
      </c>
      <c r="L365" s="9" t="s">
        <v>2129</v>
      </c>
      <c r="M365" s="9" t="s">
        <v>2130</v>
      </c>
      <c r="N365" s="11">
        <v>2024.0</v>
      </c>
    </row>
    <row r="366" ht="15.75" customHeight="1">
      <c r="A366" s="5" t="s">
        <v>15</v>
      </c>
      <c r="B366" s="6" t="str">
        <f t="array" ref="B366">XLOOKUP(C366,city_to_region!$B$5:$B$96,city_to_region!$A$5:$A$96)</f>
        <v>Карагандинская</v>
      </c>
      <c r="C366" s="6" t="s">
        <v>1320</v>
      </c>
      <c r="D366" s="6" t="s">
        <v>2094</v>
      </c>
      <c r="E366" s="19">
        <v>45615.0</v>
      </c>
      <c r="F366" s="6" t="s">
        <v>2131</v>
      </c>
      <c r="G366" s="8" t="s">
        <v>2132</v>
      </c>
      <c r="H366" s="9" t="s">
        <v>2133</v>
      </c>
      <c r="I366" s="9">
        <v>14.9</v>
      </c>
      <c r="J366" s="10">
        <v>82.0</v>
      </c>
      <c r="K366" s="9" t="s">
        <v>2134</v>
      </c>
      <c r="L366" s="9" t="s">
        <v>2135</v>
      </c>
      <c r="M366" s="9" t="s">
        <v>2136</v>
      </c>
      <c r="N366" s="11">
        <v>2024.0</v>
      </c>
    </row>
    <row r="367" ht="15.75" customHeight="1">
      <c r="A367" s="5" t="s">
        <v>15</v>
      </c>
      <c r="B367" s="6" t="str">
        <f t="array" ref="B367">XLOOKUP(C367,city_to_region!$B$5:$B$96,city_to_region!$A$5:$A$96)</f>
        <v>Карагандинская</v>
      </c>
      <c r="C367" s="6" t="s">
        <v>1320</v>
      </c>
      <c r="D367" s="6" t="s">
        <v>2094</v>
      </c>
      <c r="E367" s="19">
        <v>45615.0</v>
      </c>
      <c r="F367" s="6" t="s">
        <v>2137</v>
      </c>
      <c r="G367" s="8" t="s">
        <v>2138</v>
      </c>
      <c r="H367" s="9" t="s">
        <v>2139</v>
      </c>
      <c r="I367" s="9">
        <v>12.9</v>
      </c>
      <c r="J367" s="10">
        <v>38.0</v>
      </c>
      <c r="K367" s="9" t="s">
        <v>2140</v>
      </c>
      <c r="L367" s="9" t="s">
        <v>2141</v>
      </c>
      <c r="M367" s="9" t="s">
        <v>2142</v>
      </c>
      <c r="N367" s="11">
        <v>2024.0</v>
      </c>
    </row>
    <row r="368" ht="15.75" customHeight="1">
      <c r="A368" s="5" t="s">
        <v>15</v>
      </c>
      <c r="B368" s="6" t="str">
        <f t="array" ref="B368">XLOOKUP(C368,city_to_region!$B$5:$B$96,city_to_region!$A$5:$A$96)</f>
        <v>Карагандинская</v>
      </c>
      <c r="C368" s="6" t="s">
        <v>1320</v>
      </c>
      <c r="D368" s="6" t="s">
        <v>2094</v>
      </c>
      <c r="E368" s="19">
        <v>45615.0</v>
      </c>
      <c r="F368" s="6" t="s">
        <v>2143</v>
      </c>
      <c r="G368" s="8" t="s">
        <v>2144</v>
      </c>
      <c r="H368" s="9" t="s">
        <v>2145</v>
      </c>
      <c r="I368" s="9">
        <v>10.7</v>
      </c>
      <c r="J368" s="10">
        <v>56.0</v>
      </c>
      <c r="K368" s="9" t="s">
        <v>2146</v>
      </c>
      <c r="L368" s="9" t="s">
        <v>2147</v>
      </c>
      <c r="M368" s="9" t="s">
        <v>2148</v>
      </c>
      <c r="N368" s="11">
        <v>2024.0</v>
      </c>
    </row>
    <row r="369" ht="15.75" customHeight="1">
      <c r="A369" s="5" t="s">
        <v>15</v>
      </c>
      <c r="B369" s="6" t="str">
        <f t="array" ref="B369">XLOOKUP(C369,city_to_region!$B$5:$B$96,city_to_region!$A$5:$A$96)</f>
        <v>Карагандинская</v>
      </c>
      <c r="C369" s="6" t="s">
        <v>1320</v>
      </c>
      <c r="D369" s="6" t="s">
        <v>2094</v>
      </c>
      <c r="E369" s="19">
        <v>45615.0</v>
      </c>
      <c r="F369" s="6" t="s">
        <v>2149</v>
      </c>
      <c r="G369" s="8" t="s">
        <v>2150</v>
      </c>
      <c r="H369" s="9" t="s">
        <v>2151</v>
      </c>
      <c r="I369" s="9">
        <v>15.5</v>
      </c>
      <c r="J369" s="10">
        <v>63.0</v>
      </c>
      <c r="K369" s="9" t="s">
        <v>2152</v>
      </c>
      <c r="L369" s="9" t="s">
        <v>2153</v>
      </c>
      <c r="M369" s="9" t="s">
        <v>2154</v>
      </c>
      <c r="N369" s="11">
        <v>2024.0</v>
      </c>
    </row>
    <row r="370" ht="15.75" customHeight="1">
      <c r="A370" s="5" t="s">
        <v>15</v>
      </c>
      <c r="B370" s="6" t="str">
        <f t="array" ref="B370">XLOOKUP(C370,city_to_region!$B$5:$B$96,city_to_region!$A$5:$A$96)</f>
        <v>Карагандинская</v>
      </c>
      <c r="C370" s="6" t="s">
        <v>1320</v>
      </c>
      <c r="D370" s="6" t="s">
        <v>2094</v>
      </c>
      <c r="E370" s="19">
        <v>45615.0</v>
      </c>
      <c r="F370" s="6" t="s">
        <v>2155</v>
      </c>
      <c r="G370" s="8" t="s">
        <v>2156</v>
      </c>
      <c r="H370" s="9" t="s">
        <v>2157</v>
      </c>
      <c r="I370" s="9">
        <v>16.8</v>
      </c>
      <c r="J370" s="10">
        <v>47.0</v>
      </c>
      <c r="K370" s="9" t="s">
        <v>2158</v>
      </c>
      <c r="L370" s="9" t="s">
        <v>2159</v>
      </c>
      <c r="M370" s="9" t="s">
        <v>2160</v>
      </c>
      <c r="N370" s="11">
        <v>2024.0</v>
      </c>
    </row>
    <row r="371" ht="15.75" customHeight="1">
      <c r="A371" s="5" t="s">
        <v>15</v>
      </c>
      <c r="B371" s="6" t="str">
        <f t="array" ref="B371">XLOOKUP(C371,city_to_region!$B$5:$B$96,city_to_region!$A$5:$A$96)</f>
        <v>Карагандинская</v>
      </c>
      <c r="C371" s="6" t="s">
        <v>1320</v>
      </c>
      <c r="D371" s="6" t="s">
        <v>2094</v>
      </c>
      <c r="E371" s="19">
        <v>45615.0</v>
      </c>
      <c r="F371" s="6" t="s">
        <v>2161</v>
      </c>
      <c r="G371" s="8" t="s">
        <v>2162</v>
      </c>
      <c r="H371" s="9" t="s">
        <v>2163</v>
      </c>
      <c r="I371" s="16">
        <v>14.0</v>
      </c>
      <c r="J371" s="10">
        <v>91.0</v>
      </c>
      <c r="K371" s="9" t="s">
        <v>2164</v>
      </c>
      <c r="L371" s="9" t="s">
        <v>2165</v>
      </c>
      <c r="M371" s="9" t="s">
        <v>2166</v>
      </c>
      <c r="N371" s="11">
        <v>2024.0</v>
      </c>
    </row>
    <row r="372" ht="15.75" customHeight="1">
      <c r="A372" s="5" t="s">
        <v>15</v>
      </c>
      <c r="B372" s="6" t="str">
        <f t="array" ref="B372">XLOOKUP(C372,city_to_region!$B$5:$B$96,city_to_region!$A$5:$A$96)</f>
        <v>Карагандинская</v>
      </c>
      <c r="C372" s="6" t="s">
        <v>1320</v>
      </c>
      <c r="D372" s="6" t="s">
        <v>2094</v>
      </c>
      <c r="E372" s="19">
        <v>45615.0</v>
      </c>
      <c r="F372" s="6" t="s">
        <v>2167</v>
      </c>
      <c r="G372" s="8" t="s">
        <v>2168</v>
      </c>
      <c r="H372" s="9" t="s">
        <v>2169</v>
      </c>
      <c r="I372" s="9">
        <v>10.4</v>
      </c>
      <c r="J372" s="10">
        <v>82.0</v>
      </c>
      <c r="K372" s="9" t="s">
        <v>2170</v>
      </c>
      <c r="L372" s="9" t="s">
        <v>2171</v>
      </c>
      <c r="M372" s="9" t="s">
        <v>2172</v>
      </c>
      <c r="N372" s="11">
        <v>2024.0</v>
      </c>
    </row>
    <row r="373" ht="15.75" customHeight="1">
      <c r="A373" s="5" t="s">
        <v>15</v>
      </c>
      <c r="B373" s="6" t="str">
        <f t="array" ref="B373">XLOOKUP(C373,city_to_region!$B$5:$B$96,city_to_region!$A$5:$A$96)</f>
        <v>Карагандинская</v>
      </c>
      <c r="C373" s="6" t="s">
        <v>1320</v>
      </c>
      <c r="D373" s="6" t="s">
        <v>2094</v>
      </c>
      <c r="E373" s="19">
        <v>45615.0</v>
      </c>
      <c r="F373" s="6" t="s">
        <v>2173</v>
      </c>
      <c r="G373" s="8" t="s">
        <v>2174</v>
      </c>
      <c r="H373" s="9" t="s">
        <v>2175</v>
      </c>
      <c r="I373" s="9">
        <v>14.2</v>
      </c>
      <c r="J373" s="10">
        <v>123.0</v>
      </c>
      <c r="K373" s="9" t="s">
        <v>2176</v>
      </c>
      <c r="L373" s="9" t="s">
        <v>2177</v>
      </c>
      <c r="M373" s="9" t="s">
        <v>2178</v>
      </c>
      <c r="N373" s="11">
        <v>2024.0</v>
      </c>
    </row>
    <row r="374" ht="15.75" customHeight="1">
      <c r="A374" s="5" t="s">
        <v>15</v>
      </c>
      <c r="B374" s="6" t="str">
        <f t="array" ref="B374">XLOOKUP(C374,city_to_region!$B$5:$B$96,city_to_region!$A$5:$A$96)</f>
        <v>Карагандинская</v>
      </c>
      <c r="C374" s="6" t="s">
        <v>1320</v>
      </c>
      <c r="D374" s="6" t="s">
        <v>2094</v>
      </c>
      <c r="E374" s="19">
        <v>45615.0</v>
      </c>
      <c r="F374" s="6" t="s">
        <v>2179</v>
      </c>
      <c r="G374" s="8" t="s">
        <v>2180</v>
      </c>
      <c r="H374" s="9" t="s">
        <v>2181</v>
      </c>
      <c r="I374" s="9">
        <v>13.9</v>
      </c>
      <c r="J374" s="10">
        <v>26.0</v>
      </c>
      <c r="K374" s="9" t="s">
        <v>2182</v>
      </c>
      <c r="L374" s="9" t="s">
        <v>2183</v>
      </c>
      <c r="M374" s="9" t="s">
        <v>2184</v>
      </c>
      <c r="N374" s="11">
        <v>2024.0</v>
      </c>
    </row>
    <row r="375" ht="15.75" customHeight="1">
      <c r="A375" s="5" t="s">
        <v>15</v>
      </c>
      <c r="B375" s="6" t="str">
        <f t="array" ref="B375">XLOOKUP(C375,city_to_region!$B$5:$B$96,city_to_region!$A$5:$A$96)</f>
        <v>Карагандинская</v>
      </c>
      <c r="C375" s="6" t="s">
        <v>1320</v>
      </c>
      <c r="D375" s="6" t="s">
        <v>2185</v>
      </c>
      <c r="E375" s="19">
        <v>45615.0</v>
      </c>
      <c r="F375" s="6" t="s">
        <v>2186</v>
      </c>
      <c r="G375" s="8" t="s">
        <v>2187</v>
      </c>
      <c r="H375" s="9" t="s">
        <v>2188</v>
      </c>
      <c r="I375" s="9">
        <v>10.4</v>
      </c>
      <c r="J375" s="10">
        <v>42.0</v>
      </c>
      <c r="K375" s="9" t="s">
        <v>2189</v>
      </c>
      <c r="L375" s="9" t="s">
        <v>2190</v>
      </c>
      <c r="M375" s="9" t="s">
        <v>2191</v>
      </c>
      <c r="N375" s="11">
        <v>2024.0</v>
      </c>
    </row>
    <row r="376" ht="15.75" customHeight="1">
      <c r="A376" s="5" t="s">
        <v>15</v>
      </c>
      <c r="B376" s="6" t="str">
        <f t="array" ref="B376">XLOOKUP(C376,city_to_region!$B$5:$B$96,city_to_region!$A$5:$A$96)</f>
        <v>Карагандинская</v>
      </c>
      <c r="C376" s="6" t="s">
        <v>1320</v>
      </c>
      <c r="D376" s="6" t="s">
        <v>2192</v>
      </c>
      <c r="E376" s="19">
        <v>45615.0</v>
      </c>
      <c r="F376" s="6" t="s">
        <v>2193</v>
      </c>
      <c r="G376" s="8" t="s">
        <v>2194</v>
      </c>
      <c r="H376" s="9" t="s">
        <v>2195</v>
      </c>
      <c r="I376" s="9">
        <v>10.6</v>
      </c>
      <c r="J376" s="10">
        <v>34.0</v>
      </c>
      <c r="K376" s="9" t="s">
        <v>2196</v>
      </c>
      <c r="L376" s="9" t="s">
        <v>2197</v>
      </c>
      <c r="M376" s="9" t="s">
        <v>2198</v>
      </c>
      <c r="N376" s="11">
        <v>2024.0</v>
      </c>
    </row>
    <row r="377" ht="15.75" customHeight="1">
      <c r="A377" s="5" t="s">
        <v>15</v>
      </c>
      <c r="B377" s="6" t="str">
        <f t="array" ref="B377">XLOOKUP(C377,city_to_region!$B$5:$B$96,city_to_region!$A$5:$A$96)</f>
        <v>Карагандинская</v>
      </c>
      <c r="C377" s="6" t="s">
        <v>1320</v>
      </c>
      <c r="D377" s="6" t="s">
        <v>2199</v>
      </c>
      <c r="E377" s="19">
        <v>45615.0</v>
      </c>
      <c r="F377" s="6" t="s">
        <v>2200</v>
      </c>
      <c r="G377" s="8" t="s">
        <v>2201</v>
      </c>
      <c r="H377" s="9" t="s">
        <v>2202</v>
      </c>
      <c r="I377" s="9">
        <v>10.2</v>
      </c>
      <c r="J377" s="10">
        <v>54.0</v>
      </c>
      <c r="K377" s="9" t="s">
        <v>2203</v>
      </c>
      <c r="L377" s="9" t="s">
        <v>2204</v>
      </c>
      <c r="M377" s="9" t="s">
        <v>2205</v>
      </c>
      <c r="N377" s="11">
        <v>2024.0</v>
      </c>
    </row>
    <row r="378" ht="15.75" customHeight="1">
      <c r="A378" s="5" t="s">
        <v>15</v>
      </c>
      <c r="B378" s="6" t="str">
        <f t="array" ref="B378">XLOOKUP(C378,city_to_region!$B$5:$B$96,city_to_region!$A$5:$A$96)</f>
        <v>Карагандинская</v>
      </c>
      <c r="C378" s="6" t="s">
        <v>1320</v>
      </c>
      <c r="D378" s="6" t="s">
        <v>2206</v>
      </c>
      <c r="E378" s="19">
        <v>45615.0</v>
      </c>
      <c r="F378" s="6" t="s">
        <v>2207</v>
      </c>
      <c r="G378" s="8" t="s">
        <v>2208</v>
      </c>
      <c r="H378" s="9" t="s">
        <v>2209</v>
      </c>
      <c r="I378" s="9">
        <v>13.3</v>
      </c>
      <c r="J378" s="10">
        <v>40.0</v>
      </c>
      <c r="K378" s="9" t="s">
        <v>2210</v>
      </c>
      <c r="L378" s="9" t="s">
        <v>2211</v>
      </c>
      <c r="M378" s="9" t="s">
        <v>2212</v>
      </c>
      <c r="N378" s="11">
        <v>2024.0</v>
      </c>
    </row>
    <row r="379" ht="15.75" customHeight="1">
      <c r="A379" s="5" t="s">
        <v>15</v>
      </c>
      <c r="B379" s="6" t="str">
        <f t="array" ref="B379">XLOOKUP(C379,city_to_region!$B$5:$B$96,city_to_region!$A$5:$A$96)</f>
        <v>Карагандинская</v>
      </c>
      <c r="C379" s="6" t="s">
        <v>1320</v>
      </c>
      <c r="D379" s="6" t="s">
        <v>2094</v>
      </c>
      <c r="E379" s="19">
        <v>45615.0</v>
      </c>
      <c r="F379" s="6" t="s">
        <v>2213</v>
      </c>
      <c r="G379" s="8" t="s">
        <v>2214</v>
      </c>
      <c r="H379" s="9" t="s">
        <v>2215</v>
      </c>
      <c r="I379" s="9">
        <v>11.3</v>
      </c>
      <c r="J379" s="10">
        <v>35.0</v>
      </c>
      <c r="K379" s="9" t="s">
        <v>2216</v>
      </c>
      <c r="L379" s="9" t="s">
        <v>2217</v>
      </c>
      <c r="M379" s="9" t="s">
        <v>2218</v>
      </c>
      <c r="N379" s="11">
        <v>2024.0</v>
      </c>
    </row>
    <row r="380" ht="15.75" customHeight="1">
      <c r="A380" s="5" t="s">
        <v>15</v>
      </c>
      <c r="B380" s="6" t="str">
        <f t="array" ref="B380">XLOOKUP(C380,city_to_region!$B$5:$B$96,city_to_region!$A$5:$A$96)</f>
        <v>Карагандинская</v>
      </c>
      <c r="C380" s="6" t="s">
        <v>1320</v>
      </c>
      <c r="D380" s="6" t="s">
        <v>2094</v>
      </c>
      <c r="E380" s="19">
        <v>45615.0</v>
      </c>
      <c r="F380" s="6" t="s">
        <v>2219</v>
      </c>
      <c r="G380" s="8" t="s">
        <v>2220</v>
      </c>
      <c r="H380" s="9" t="s">
        <v>2221</v>
      </c>
      <c r="I380" s="9">
        <v>13.3</v>
      </c>
      <c r="J380" s="10">
        <v>110.0</v>
      </c>
      <c r="K380" s="9" t="s">
        <v>2222</v>
      </c>
      <c r="L380" s="9" t="s">
        <v>2223</v>
      </c>
      <c r="M380" s="9" t="s">
        <v>2224</v>
      </c>
      <c r="N380" s="11">
        <v>2024.0</v>
      </c>
    </row>
    <row r="381" ht="15.75" customHeight="1">
      <c r="A381" s="5" t="s">
        <v>15</v>
      </c>
      <c r="B381" s="6" t="str">
        <f t="array" ref="B381">XLOOKUP(C381,city_to_region!$B$5:$B$96,city_to_region!$A$5:$A$96)</f>
        <v>Карагандинская</v>
      </c>
      <c r="C381" s="6" t="s">
        <v>1320</v>
      </c>
      <c r="D381" s="6" t="s">
        <v>2094</v>
      </c>
      <c r="E381" s="19">
        <v>45615.0</v>
      </c>
      <c r="F381" s="6" t="s">
        <v>2225</v>
      </c>
      <c r="G381" s="8" t="s">
        <v>2226</v>
      </c>
      <c r="H381" s="9" t="s">
        <v>2227</v>
      </c>
      <c r="I381" s="9">
        <v>14.9</v>
      </c>
      <c r="J381" s="10">
        <v>68.0</v>
      </c>
      <c r="K381" s="9" t="s">
        <v>2228</v>
      </c>
      <c r="L381" s="9" t="s">
        <v>2229</v>
      </c>
      <c r="M381" s="9" t="s">
        <v>2230</v>
      </c>
      <c r="N381" s="11">
        <v>2024.0</v>
      </c>
    </row>
    <row r="382" ht="15.75" customHeight="1">
      <c r="A382" s="5" t="s">
        <v>15</v>
      </c>
      <c r="B382" s="6" t="str">
        <f t="array" ref="B382">XLOOKUP(C382,city_to_region!$B$5:$B$96,city_to_region!$A$5:$A$96)</f>
        <v>Карагандинская</v>
      </c>
      <c r="C382" s="6" t="s">
        <v>1320</v>
      </c>
      <c r="D382" s="6" t="s">
        <v>2094</v>
      </c>
      <c r="E382" s="19">
        <v>45616.0</v>
      </c>
      <c r="F382" s="6" t="s">
        <v>2231</v>
      </c>
      <c r="G382" s="8" t="s">
        <v>2232</v>
      </c>
      <c r="H382" s="9" t="s">
        <v>2233</v>
      </c>
      <c r="I382" s="9">
        <v>11.1</v>
      </c>
      <c r="J382" s="10">
        <v>88.0</v>
      </c>
      <c r="K382" s="9" t="s">
        <v>2234</v>
      </c>
      <c r="L382" s="9" t="s">
        <v>2235</v>
      </c>
      <c r="M382" s="9" t="s">
        <v>2236</v>
      </c>
      <c r="N382" s="11">
        <v>2024.0</v>
      </c>
    </row>
    <row r="383" ht="15.75" customHeight="1">
      <c r="A383" s="5" t="s">
        <v>15</v>
      </c>
      <c r="B383" s="6" t="str">
        <f t="array" ref="B383">XLOOKUP(C383,city_to_region!$B$5:$B$96,city_to_region!$A$5:$A$96)</f>
        <v>Карагандинская</v>
      </c>
      <c r="C383" s="6" t="s">
        <v>1320</v>
      </c>
      <c r="D383" s="6" t="s">
        <v>2094</v>
      </c>
      <c r="E383" s="19">
        <v>45616.0</v>
      </c>
      <c r="F383" s="6" t="s">
        <v>2237</v>
      </c>
      <c r="G383" s="8" t="s">
        <v>2238</v>
      </c>
      <c r="H383" s="9" t="s">
        <v>2239</v>
      </c>
      <c r="I383" s="16">
        <v>12.0</v>
      </c>
      <c r="J383" s="10">
        <v>121.0</v>
      </c>
      <c r="K383" s="9" t="s">
        <v>2240</v>
      </c>
      <c r="L383" s="9" t="s">
        <v>2241</v>
      </c>
      <c r="M383" s="9" t="s">
        <v>2242</v>
      </c>
      <c r="N383" s="11">
        <v>2024.0</v>
      </c>
    </row>
    <row r="384" ht="15.75" customHeight="1">
      <c r="A384" s="5" t="s">
        <v>15</v>
      </c>
      <c r="B384" s="6" t="str">
        <f t="array" ref="B384">XLOOKUP(C384,city_to_region!$B$5:$B$96,city_to_region!$A$5:$A$96)</f>
        <v>Карагандинская</v>
      </c>
      <c r="C384" s="6" t="s">
        <v>1320</v>
      </c>
      <c r="D384" s="6" t="s">
        <v>2094</v>
      </c>
      <c r="E384" s="19">
        <v>45616.0</v>
      </c>
      <c r="F384" s="6" t="s">
        <v>2243</v>
      </c>
      <c r="G384" s="8" t="s">
        <v>2244</v>
      </c>
      <c r="H384" s="9" t="s">
        <v>2245</v>
      </c>
      <c r="I384" s="9">
        <v>14.6</v>
      </c>
      <c r="J384" s="10">
        <v>36.0</v>
      </c>
      <c r="K384" s="9" t="s">
        <v>2246</v>
      </c>
      <c r="L384" s="9" t="s">
        <v>2247</v>
      </c>
      <c r="M384" s="9" t="s">
        <v>2248</v>
      </c>
      <c r="N384" s="11">
        <v>2024.0</v>
      </c>
    </row>
    <row r="385" ht="15.75" customHeight="1">
      <c r="A385" s="5" t="s">
        <v>15</v>
      </c>
      <c r="B385" s="6" t="str">
        <f t="array" ref="B385">XLOOKUP(C385,city_to_region!$B$5:$B$96,city_to_region!$A$5:$A$96)</f>
        <v>Карагандинская</v>
      </c>
      <c r="C385" s="6" t="s">
        <v>1320</v>
      </c>
      <c r="D385" s="6" t="s">
        <v>2094</v>
      </c>
      <c r="E385" s="19">
        <v>45616.0</v>
      </c>
      <c r="F385" s="6" t="s">
        <v>2249</v>
      </c>
      <c r="G385" s="8" t="s">
        <v>2250</v>
      </c>
      <c r="H385" s="9" t="s">
        <v>2251</v>
      </c>
      <c r="I385" s="9">
        <v>14.5</v>
      </c>
      <c r="J385" s="10">
        <v>58.0</v>
      </c>
      <c r="K385" s="9" t="s">
        <v>2252</v>
      </c>
      <c r="L385" s="9" t="s">
        <v>2253</v>
      </c>
      <c r="M385" s="9" t="s">
        <v>2254</v>
      </c>
      <c r="N385" s="11">
        <v>2024.0</v>
      </c>
    </row>
    <row r="386" ht="15.75" customHeight="1">
      <c r="A386" s="5" t="s">
        <v>15</v>
      </c>
      <c r="B386" s="6" t="str">
        <f t="array" ref="B386">XLOOKUP(C386,city_to_region!$B$5:$B$96,city_to_region!$A$5:$A$96)</f>
        <v>Карагандинская</v>
      </c>
      <c r="C386" s="6" t="s">
        <v>1320</v>
      </c>
      <c r="D386" s="6" t="s">
        <v>2094</v>
      </c>
      <c r="E386" s="19">
        <v>45616.0</v>
      </c>
      <c r="F386" s="6" t="s">
        <v>2255</v>
      </c>
      <c r="G386" s="8" t="s">
        <v>2256</v>
      </c>
      <c r="H386" s="9" t="s">
        <v>2257</v>
      </c>
      <c r="I386" s="9">
        <v>12.4</v>
      </c>
      <c r="J386" s="10">
        <v>114.0</v>
      </c>
      <c r="K386" s="9" t="s">
        <v>2258</v>
      </c>
      <c r="L386" s="9" t="s">
        <v>2259</v>
      </c>
      <c r="M386" s="9" t="s">
        <v>2260</v>
      </c>
      <c r="N386" s="11">
        <v>2024.0</v>
      </c>
    </row>
    <row r="387" ht="15.75" customHeight="1">
      <c r="A387" s="5" t="s">
        <v>15</v>
      </c>
      <c r="B387" s="6" t="str">
        <f t="array" ref="B387">XLOOKUP(C387,city_to_region!$B$5:$B$96,city_to_region!$A$5:$A$96)</f>
        <v>Карагандинская</v>
      </c>
      <c r="C387" s="6" t="s">
        <v>1320</v>
      </c>
      <c r="D387" s="6" t="s">
        <v>2094</v>
      </c>
      <c r="E387" s="19">
        <v>45616.0</v>
      </c>
      <c r="F387" s="6" t="s">
        <v>2261</v>
      </c>
      <c r="G387" s="8" t="s">
        <v>2262</v>
      </c>
      <c r="H387" s="9" t="s">
        <v>2263</v>
      </c>
      <c r="I387" s="9">
        <v>10.8</v>
      </c>
      <c r="J387" s="10">
        <v>111.0</v>
      </c>
      <c r="K387" s="9" t="s">
        <v>2264</v>
      </c>
      <c r="L387" s="9" t="s">
        <v>2265</v>
      </c>
      <c r="M387" s="9" t="s">
        <v>2266</v>
      </c>
      <c r="N387" s="11">
        <v>2024.0</v>
      </c>
    </row>
    <row r="388" ht="15.75" customHeight="1">
      <c r="A388" s="5" t="s">
        <v>15</v>
      </c>
      <c r="B388" s="6" t="str">
        <f t="array" ref="B388">XLOOKUP(C388,city_to_region!$B$5:$B$96,city_to_region!$A$5:$A$96)</f>
        <v>Карагандинская</v>
      </c>
      <c r="C388" s="6" t="s">
        <v>1320</v>
      </c>
      <c r="D388" s="6" t="s">
        <v>2267</v>
      </c>
      <c r="E388" s="19">
        <v>45618.0</v>
      </c>
      <c r="F388" s="6" t="s">
        <v>2268</v>
      </c>
      <c r="G388" s="8" t="s">
        <v>2269</v>
      </c>
      <c r="H388" s="9" t="s">
        <v>2270</v>
      </c>
      <c r="I388" s="9">
        <v>11.8</v>
      </c>
      <c r="J388" s="9" t="s">
        <v>2271</v>
      </c>
      <c r="K388" s="9" t="s">
        <v>2272</v>
      </c>
      <c r="L388" s="9" t="s">
        <v>2273</v>
      </c>
      <c r="M388" s="9" t="s">
        <v>2274</v>
      </c>
      <c r="N388" s="11">
        <v>2024.0</v>
      </c>
    </row>
    <row r="389" ht="15.75" customHeight="1">
      <c r="A389" s="5" t="s">
        <v>15</v>
      </c>
      <c r="B389" s="6" t="str">
        <f t="array" ref="B389">XLOOKUP(C389,city_to_region!$B$5:$B$96,city_to_region!$A$5:$A$96)</f>
        <v>Карагандинская</v>
      </c>
      <c r="C389" s="6" t="s">
        <v>1320</v>
      </c>
      <c r="D389" s="6" t="s">
        <v>2275</v>
      </c>
      <c r="E389" s="19">
        <v>45619.0</v>
      </c>
      <c r="F389" s="6" t="s">
        <v>2276</v>
      </c>
      <c r="G389" s="8" t="s">
        <v>2277</v>
      </c>
      <c r="H389" s="9" t="s">
        <v>2278</v>
      </c>
      <c r="I389" s="9">
        <v>10.5</v>
      </c>
      <c r="J389" s="10">
        <v>128.0</v>
      </c>
      <c r="K389" s="9" t="s">
        <v>2279</v>
      </c>
      <c r="L389" s="9" t="s">
        <v>2280</v>
      </c>
      <c r="M389" s="9" t="s">
        <v>2281</v>
      </c>
      <c r="N389" s="11">
        <v>2024.0</v>
      </c>
    </row>
    <row r="390" ht="15.75" customHeight="1">
      <c r="A390" s="5" t="s">
        <v>15</v>
      </c>
      <c r="B390" s="6" t="str">
        <f t="array" ref="B390">XLOOKUP(C390,city_to_region!$B$5:$B$96,city_to_region!$A$5:$A$96)</f>
        <v>Карагандинская</v>
      </c>
      <c r="C390" s="6" t="s">
        <v>1320</v>
      </c>
      <c r="D390" s="6" t="s">
        <v>2282</v>
      </c>
      <c r="E390" s="19">
        <v>45623.0</v>
      </c>
      <c r="F390" s="6" t="s">
        <v>2283</v>
      </c>
      <c r="G390" s="8" t="s">
        <v>2284</v>
      </c>
      <c r="H390" s="9" t="s">
        <v>2285</v>
      </c>
      <c r="I390" s="9">
        <v>10.5</v>
      </c>
      <c r="J390" s="10">
        <v>92.0</v>
      </c>
      <c r="K390" s="9" t="s">
        <v>2286</v>
      </c>
      <c r="L390" s="9" t="s">
        <v>2287</v>
      </c>
      <c r="M390" s="9" t="s">
        <v>2288</v>
      </c>
      <c r="N390" s="11">
        <v>2024.0</v>
      </c>
    </row>
    <row r="391" ht="15.75" customHeight="1">
      <c r="A391" s="5" t="s">
        <v>15</v>
      </c>
      <c r="B391" s="6" t="str">
        <f t="array" ref="B391">XLOOKUP(C391,city_to_region!$B$5:$B$96,city_to_region!$A$5:$A$96)</f>
        <v>Карагандинская</v>
      </c>
      <c r="C391" s="6" t="s">
        <v>1320</v>
      </c>
      <c r="D391" s="6" t="s">
        <v>2094</v>
      </c>
      <c r="E391" s="19">
        <v>45623.0</v>
      </c>
      <c r="F391" s="6" t="s">
        <v>2289</v>
      </c>
      <c r="G391" s="8" t="s">
        <v>2290</v>
      </c>
      <c r="H391" s="9" t="s">
        <v>2291</v>
      </c>
      <c r="I391" s="9">
        <v>12.8</v>
      </c>
      <c r="J391" s="10">
        <v>64.0</v>
      </c>
      <c r="K391" s="9" t="s">
        <v>2292</v>
      </c>
      <c r="L391" s="9" t="s">
        <v>2293</v>
      </c>
      <c r="M391" s="9" t="s">
        <v>2294</v>
      </c>
      <c r="N391" s="11">
        <v>2024.0</v>
      </c>
    </row>
    <row r="392" ht="15.75" customHeight="1">
      <c r="A392" s="5" t="s">
        <v>15</v>
      </c>
      <c r="B392" s="6" t="str">
        <f t="array" ref="B392">XLOOKUP(C392,city_to_region!$B$5:$B$96,city_to_region!$A$5:$A$96)</f>
        <v>Карагандинская</v>
      </c>
      <c r="C392" s="6" t="s">
        <v>1320</v>
      </c>
      <c r="D392" s="6" t="s">
        <v>2094</v>
      </c>
      <c r="E392" s="19">
        <v>45623.0</v>
      </c>
      <c r="F392" s="6" t="s">
        <v>2295</v>
      </c>
      <c r="G392" s="8" t="s">
        <v>2296</v>
      </c>
      <c r="H392" s="9" t="s">
        <v>2297</v>
      </c>
      <c r="I392" s="9">
        <v>14.4</v>
      </c>
      <c r="J392" s="10">
        <v>48.0</v>
      </c>
      <c r="K392" s="9" t="s">
        <v>2298</v>
      </c>
      <c r="L392" s="9" t="s">
        <v>2299</v>
      </c>
      <c r="M392" s="9" t="s">
        <v>2300</v>
      </c>
      <c r="N392" s="11">
        <v>2024.0</v>
      </c>
    </row>
    <row r="393" ht="15.75" customHeight="1">
      <c r="A393" s="5" t="s">
        <v>15</v>
      </c>
      <c r="B393" s="6" t="str">
        <f t="array" ref="B393">XLOOKUP(C393,city_to_region!$B$5:$B$96,city_to_region!$A$5:$A$96)</f>
        <v>Карагандинская</v>
      </c>
      <c r="C393" s="6" t="s">
        <v>1320</v>
      </c>
      <c r="D393" s="6" t="s">
        <v>2094</v>
      </c>
      <c r="E393" s="19">
        <v>45623.0</v>
      </c>
      <c r="F393" s="6" t="s">
        <v>2301</v>
      </c>
      <c r="G393" s="8" t="s">
        <v>2302</v>
      </c>
      <c r="H393" s="9" t="s">
        <v>2303</v>
      </c>
      <c r="I393" s="9">
        <v>13.7</v>
      </c>
      <c r="J393" s="10">
        <v>74.0</v>
      </c>
      <c r="K393" s="9" t="s">
        <v>2304</v>
      </c>
      <c r="L393" s="9" t="s">
        <v>2305</v>
      </c>
      <c r="M393" s="9" t="s">
        <v>2306</v>
      </c>
      <c r="N393" s="11">
        <v>2024.0</v>
      </c>
    </row>
    <row r="394" ht="15.75" customHeight="1">
      <c r="A394" s="5" t="s">
        <v>15</v>
      </c>
      <c r="B394" s="6" t="str">
        <f t="array" ref="B394">XLOOKUP(C394,city_to_region!$B$5:$B$96,city_to_region!$A$5:$A$96)</f>
        <v>Карагандинская</v>
      </c>
      <c r="C394" s="6" t="s">
        <v>1320</v>
      </c>
      <c r="D394" s="6" t="s">
        <v>2094</v>
      </c>
      <c r="E394" s="19">
        <v>45623.0</v>
      </c>
      <c r="F394" s="6" t="s">
        <v>2307</v>
      </c>
      <c r="G394" s="8" t="s">
        <v>2308</v>
      </c>
      <c r="H394" s="9" t="s">
        <v>2309</v>
      </c>
      <c r="I394" s="9">
        <v>15.3</v>
      </c>
      <c r="J394" s="10">
        <v>46.0</v>
      </c>
      <c r="K394" s="9" t="s">
        <v>2310</v>
      </c>
      <c r="L394" s="9" t="s">
        <v>2311</v>
      </c>
      <c r="M394" s="9" t="s">
        <v>2312</v>
      </c>
      <c r="N394" s="11">
        <v>2024.0</v>
      </c>
    </row>
    <row r="395" ht="15.75" customHeight="1">
      <c r="A395" s="5" t="s">
        <v>15</v>
      </c>
      <c r="B395" s="6" t="str">
        <f t="array" ref="B395">XLOOKUP(C395,city_to_region!$B$5:$B$96,city_to_region!$A$5:$A$96)</f>
        <v>Карагандинская</v>
      </c>
      <c r="C395" s="6" t="s">
        <v>1320</v>
      </c>
      <c r="D395" s="6" t="s">
        <v>2094</v>
      </c>
      <c r="E395" s="19">
        <v>45624.0</v>
      </c>
      <c r="F395" s="6" t="s">
        <v>2313</v>
      </c>
      <c r="G395" s="8" t="s">
        <v>2314</v>
      </c>
      <c r="H395" s="9" t="s">
        <v>2315</v>
      </c>
      <c r="I395" s="9">
        <v>10.4</v>
      </c>
      <c r="J395" s="10">
        <v>52.0</v>
      </c>
      <c r="K395" s="9" t="s">
        <v>2316</v>
      </c>
      <c r="L395" s="9" t="s">
        <v>2317</v>
      </c>
      <c r="M395" s="9" t="s">
        <v>2318</v>
      </c>
      <c r="N395" s="11">
        <v>2024.0</v>
      </c>
    </row>
    <row r="396" ht="15.75" customHeight="1">
      <c r="A396" s="5" t="s">
        <v>15</v>
      </c>
      <c r="B396" s="6" t="str">
        <f t="array" ref="B396">XLOOKUP(C396,city_to_region!$B$5:$B$96,city_to_region!$A$5:$A$96)</f>
        <v>Карагандинская</v>
      </c>
      <c r="C396" s="6" t="s">
        <v>1320</v>
      </c>
      <c r="D396" s="6" t="s">
        <v>2094</v>
      </c>
      <c r="E396" s="19">
        <v>45624.0</v>
      </c>
      <c r="F396" s="6" t="s">
        <v>2319</v>
      </c>
      <c r="G396" s="8" t="s">
        <v>2320</v>
      </c>
      <c r="H396" s="9" t="s">
        <v>2321</v>
      </c>
      <c r="I396" s="9">
        <v>13.7</v>
      </c>
      <c r="J396" s="10">
        <v>121.0</v>
      </c>
      <c r="K396" s="9" t="s">
        <v>2322</v>
      </c>
      <c r="L396" s="9" t="s">
        <v>2323</v>
      </c>
      <c r="M396" s="9" t="s">
        <v>2324</v>
      </c>
      <c r="N396" s="11">
        <v>2024.0</v>
      </c>
    </row>
    <row r="397" ht="15.75" customHeight="1">
      <c r="A397" s="5" t="s">
        <v>15</v>
      </c>
      <c r="B397" s="6" t="str">
        <f t="array" ref="B397">XLOOKUP(C397,city_to_region!$B$5:$B$96,city_to_region!$A$5:$A$96)</f>
        <v>Карагандинская</v>
      </c>
      <c r="C397" s="6" t="s">
        <v>1320</v>
      </c>
      <c r="D397" s="6" t="s">
        <v>2094</v>
      </c>
      <c r="E397" s="19">
        <v>45624.0</v>
      </c>
      <c r="F397" s="6" t="s">
        <v>2325</v>
      </c>
      <c r="G397" s="8" t="s">
        <v>2326</v>
      </c>
      <c r="H397" s="9" t="s">
        <v>2327</v>
      </c>
      <c r="I397" s="9">
        <v>11.5</v>
      </c>
      <c r="J397" s="10">
        <v>45.0</v>
      </c>
      <c r="K397" s="9" t="s">
        <v>2328</v>
      </c>
      <c r="L397" s="9" t="s">
        <v>2329</v>
      </c>
      <c r="M397" s="9" t="s">
        <v>2330</v>
      </c>
      <c r="N397" s="11">
        <v>2024.0</v>
      </c>
    </row>
    <row r="398" ht="15.75" customHeight="1">
      <c r="A398" s="5" t="s">
        <v>15</v>
      </c>
      <c r="B398" s="6" t="str">
        <f t="array" ref="B398">XLOOKUP(C398,city_to_region!$B$5:$B$96,city_to_region!$A$5:$A$96)</f>
        <v>Карагандинская</v>
      </c>
      <c r="C398" s="6" t="s">
        <v>1320</v>
      </c>
      <c r="D398" s="6" t="s">
        <v>2094</v>
      </c>
      <c r="E398" s="19">
        <v>45624.0</v>
      </c>
      <c r="F398" s="6" t="s">
        <v>2331</v>
      </c>
      <c r="G398" s="8" t="s">
        <v>2332</v>
      </c>
      <c r="H398" s="9" t="s">
        <v>2333</v>
      </c>
      <c r="I398" s="9">
        <v>12.4</v>
      </c>
      <c r="J398" s="10">
        <v>56.0</v>
      </c>
      <c r="K398" s="9" t="s">
        <v>2334</v>
      </c>
      <c r="L398" s="9" t="s">
        <v>2335</v>
      </c>
      <c r="M398" s="9" t="s">
        <v>2336</v>
      </c>
      <c r="N398" s="11">
        <v>2024.0</v>
      </c>
    </row>
    <row r="399" ht="15.75" customHeight="1">
      <c r="A399" s="5" t="s">
        <v>15</v>
      </c>
      <c r="B399" s="6" t="str">
        <f t="array" ref="B399">XLOOKUP(C399,city_to_region!$B$5:$B$96,city_to_region!$A$5:$A$96)</f>
        <v>Карагандинская</v>
      </c>
      <c r="C399" s="6" t="s">
        <v>1320</v>
      </c>
      <c r="D399" s="6" t="s">
        <v>2094</v>
      </c>
      <c r="E399" s="19">
        <v>45624.0</v>
      </c>
      <c r="F399" s="6" t="s">
        <v>2337</v>
      </c>
      <c r="G399" s="8" t="s">
        <v>2338</v>
      </c>
      <c r="H399" s="9" t="s">
        <v>2339</v>
      </c>
      <c r="I399" s="9">
        <v>10.6</v>
      </c>
      <c r="J399" s="10">
        <v>51.0</v>
      </c>
      <c r="K399" s="9" t="s">
        <v>2340</v>
      </c>
      <c r="L399" s="9" t="s">
        <v>2341</v>
      </c>
      <c r="M399" s="9" t="s">
        <v>2342</v>
      </c>
      <c r="N399" s="11">
        <v>2024.0</v>
      </c>
    </row>
    <row r="400" ht="15.75" customHeight="1">
      <c r="A400" s="5" t="s">
        <v>15</v>
      </c>
      <c r="B400" s="6" t="str">
        <f t="array" ref="B400">XLOOKUP(C400,city_to_region!$B$5:$B$96,city_to_region!$A$5:$A$96)</f>
        <v>Карагандинская</v>
      </c>
      <c r="C400" s="6" t="s">
        <v>1320</v>
      </c>
      <c r="D400" s="6" t="s">
        <v>2094</v>
      </c>
      <c r="E400" s="19">
        <v>45624.0</v>
      </c>
      <c r="F400" s="6" t="s">
        <v>2343</v>
      </c>
      <c r="G400" s="8" t="s">
        <v>2344</v>
      </c>
      <c r="H400" s="9" t="s">
        <v>2345</v>
      </c>
      <c r="I400" s="9">
        <v>12.7</v>
      </c>
      <c r="J400" s="10">
        <v>45.0</v>
      </c>
      <c r="K400" s="9" t="s">
        <v>2346</v>
      </c>
      <c r="L400" s="9" t="s">
        <v>2347</v>
      </c>
      <c r="M400" s="9" t="s">
        <v>2348</v>
      </c>
      <c r="N400" s="11">
        <v>2024.0</v>
      </c>
    </row>
    <row r="401" ht="15.75" customHeight="1">
      <c r="A401" s="5" t="s">
        <v>15</v>
      </c>
      <c r="B401" s="6" t="str">
        <f t="array" ref="B401">XLOOKUP(C401,city_to_region!$B$5:$B$96,city_to_region!$A$5:$A$96)</f>
        <v>Карагандинская</v>
      </c>
      <c r="C401" s="6" t="s">
        <v>1320</v>
      </c>
      <c r="D401" s="6" t="s">
        <v>2094</v>
      </c>
      <c r="E401" s="19">
        <v>45624.0</v>
      </c>
      <c r="F401" s="6" t="s">
        <v>2349</v>
      </c>
      <c r="G401" s="8" t="s">
        <v>2350</v>
      </c>
      <c r="H401" s="9" t="s">
        <v>2351</v>
      </c>
      <c r="I401" s="16">
        <v>10.0</v>
      </c>
      <c r="J401" s="10">
        <v>42.0</v>
      </c>
      <c r="K401" s="9" t="s">
        <v>2352</v>
      </c>
      <c r="L401" s="9" t="s">
        <v>2353</v>
      </c>
      <c r="M401" s="9" t="s">
        <v>2354</v>
      </c>
      <c r="N401" s="11">
        <v>2024.0</v>
      </c>
    </row>
    <row r="402" ht="15.75" customHeight="1">
      <c r="A402" s="5" t="s">
        <v>15</v>
      </c>
      <c r="B402" s="6" t="str">
        <f t="array" ref="B402">XLOOKUP(C402,city_to_region!$B$5:$B$96,city_to_region!$A$5:$A$96)</f>
        <v>Карагандинская</v>
      </c>
      <c r="C402" s="6" t="s">
        <v>1320</v>
      </c>
      <c r="D402" s="6" t="s">
        <v>2355</v>
      </c>
      <c r="E402" s="19">
        <v>45625.0</v>
      </c>
      <c r="F402" s="6" t="s">
        <v>2356</v>
      </c>
      <c r="G402" s="8" t="s">
        <v>2357</v>
      </c>
      <c r="H402" s="9" t="s">
        <v>2358</v>
      </c>
      <c r="I402" s="9">
        <v>10.1</v>
      </c>
      <c r="J402" s="10">
        <v>84.0</v>
      </c>
      <c r="K402" s="9" t="s">
        <v>2359</v>
      </c>
      <c r="L402" s="9" t="s">
        <v>2360</v>
      </c>
      <c r="M402" s="9" t="s">
        <v>2361</v>
      </c>
      <c r="N402" s="11">
        <v>2024.0</v>
      </c>
    </row>
    <row r="403" ht="15.75" customHeight="1">
      <c r="A403" s="5" t="s">
        <v>15</v>
      </c>
      <c r="B403" s="6" t="str">
        <f t="array" ref="B403">XLOOKUP(C403,city_to_region!$B$5:$B$96,city_to_region!$A$5:$A$96)</f>
        <v>Карагандинская</v>
      </c>
      <c r="C403" s="6" t="s">
        <v>1320</v>
      </c>
      <c r="D403" s="6" t="s">
        <v>2094</v>
      </c>
      <c r="E403" s="19">
        <v>45625.0</v>
      </c>
      <c r="F403" s="6" t="s">
        <v>2362</v>
      </c>
      <c r="G403" s="8" t="s">
        <v>2363</v>
      </c>
      <c r="H403" s="9" t="s">
        <v>2364</v>
      </c>
      <c r="I403" s="9">
        <v>11.2</v>
      </c>
      <c r="J403" s="10">
        <v>117.0</v>
      </c>
      <c r="K403" s="9" t="s">
        <v>2365</v>
      </c>
      <c r="L403" s="9" t="s">
        <v>2366</v>
      </c>
      <c r="M403" s="9" t="s">
        <v>2367</v>
      </c>
      <c r="N403" s="11">
        <v>2024.0</v>
      </c>
    </row>
    <row r="404" ht="15.75" customHeight="1">
      <c r="A404" s="5" t="s">
        <v>15</v>
      </c>
      <c r="B404" s="6" t="str">
        <f t="array" ref="B404">XLOOKUP(C404,city_to_region!$B$5:$B$96,city_to_region!$A$5:$A$96)</f>
        <v>Карагандинская</v>
      </c>
      <c r="C404" s="6" t="s">
        <v>1320</v>
      </c>
      <c r="D404" s="6" t="s">
        <v>2094</v>
      </c>
      <c r="E404" s="19">
        <v>45625.0</v>
      </c>
      <c r="F404" s="6" t="s">
        <v>2368</v>
      </c>
      <c r="G404" s="8" t="s">
        <v>2369</v>
      </c>
      <c r="H404" s="9" t="s">
        <v>2370</v>
      </c>
      <c r="I404" s="16">
        <v>10.0</v>
      </c>
      <c r="J404" s="10">
        <v>95.0</v>
      </c>
      <c r="K404" s="9" t="s">
        <v>2371</v>
      </c>
      <c r="L404" s="9" t="s">
        <v>2372</v>
      </c>
      <c r="M404" s="9" t="s">
        <v>2373</v>
      </c>
      <c r="N404" s="11">
        <v>2024.0</v>
      </c>
    </row>
    <row r="405" ht="15.75" customHeight="1">
      <c r="A405" s="5" t="s">
        <v>15</v>
      </c>
      <c r="B405" s="6" t="str">
        <f t="array" ref="B405">XLOOKUP(C405,city_to_region!$B$5:$B$96,city_to_region!$A$5:$A$96)</f>
        <v>Карагандинская</v>
      </c>
      <c r="C405" s="6" t="s">
        <v>1320</v>
      </c>
      <c r="D405" s="6" t="s">
        <v>2094</v>
      </c>
      <c r="E405" s="19">
        <v>45625.0</v>
      </c>
      <c r="F405" s="6" t="s">
        <v>2374</v>
      </c>
      <c r="G405" s="8" t="s">
        <v>2375</v>
      </c>
      <c r="H405" s="9" t="s">
        <v>2376</v>
      </c>
      <c r="I405" s="9">
        <v>10.4</v>
      </c>
      <c r="J405" s="10">
        <v>91.0</v>
      </c>
      <c r="K405" s="9" t="s">
        <v>2377</v>
      </c>
      <c r="L405" s="9" t="s">
        <v>2378</v>
      </c>
      <c r="M405" s="9" t="s">
        <v>2379</v>
      </c>
      <c r="N405" s="11">
        <v>2024.0</v>
      </c>
    </row>
    <row r="406" ht="15.75" customHeight="1">
      <c r="A406" s="5" t="s">
        <v>15</v>
      </c>
      <c r="B406" s="6" t="str">
        <f t="array" ref="B406">XLOOKUP(C406,city_to_region!$B$5:$B$96,city_to_region!$A$5:$A$96)</f>
        <v>Карагандинская</v>
      </c>
      <c r="C406" s="6" t="s">
        <v>1320</v>
      </c>
      <c r="D406" s="6" t="s">
        <v>2094</v>
      </c>
      <c r="E406" s="19">
        <v>45625.0</v>
      </c>
      <c r="F406" s="6" t="s">
        <v>2380</v>
      </c>
      <c r="G406" s="8" t="s">
        <v>2381</v>
      </c>
      <c r="H406" s="9" t="s">
        <v>2382</v>
      </c>
      <c r="I406" s="9">
        <v>10.3</v>
      </c>
      <c r="J406" s="10">
        <v>166.0</v>
      </c>
      <c r="K406" s="9" t="s">
        <v>2383</v>
      </c>
      <c r="L406" s="9" t="s">
        <v>2384</v>
      </c>
      <c r="M406" s="9" t="s">
        <v>2385</v>
      </c>
      <c r="N406" s="11">
        <v>2024.0</v>
      </c>
    </row>
    <row r="407" ht="15.75" customHeight="1">
      <c r="A407" s="5" t="s">
        <v>15</v>
      </c>
      <c r="B407" s="6" t="str">
        <f t="array" ref="B407">XLOOKUP(C407,city_to_region!$B$5:$B$96,city_to_region!$A$5:$A$96)</f>
        <v>Карагандинская</v>
      </c>
      <c r="C407" s="6" t="s">
        <v>1320</v>
      </c>
      <c r="D407" s="6" t="s">
        <v>2094</v>
      </c>
      <c r="E407" s="19">
        <v>45625.0</v>
      </c>
      <c r="F407" s="6" t="s">
        <v>2386</v>
      </c>
      <c r="G407" s="8" t="s">
        <v>2387</v>
      </c>
      <c r="H407" s="9" t="s">
        <v>2388</v>
      </c>
      <c r="I407" s="9">
        <v>10.1</v>
      </c>
      <c r="J407" s="10">
        <v>96.0</v>
      </c>
      <c r="K407" s="9" t="s">
        <v>2389</v>
      </c>
      <c r="L407" s="9" t="s">
        <v>2390</v>
      </c>
      <c r="M407" s="9" t="s">
        <v>2391</v>
      </c>
      <c r="N407" s="11">
        <v>2024.0</v>
      </c>
    </row>
    <row r="408" ht="15.75" customHeight="1">
      <c r="A408" s="5" t="s">
        <v>15</v>
      </c>
      <c r="B408" s="6" t="str">
        <f t="array" ref="B408">XLOOKUP(C408,city_to_region!$B$5:$B$96,city_to_region!$A$5:$A$96)</f>
        <v>Карагандинская</v>
      </c>
      <c r="C408" s="6" t="s">
        <v>1320</v>
      </c>
      <c r="D408" s="6" t="s">
        <v>2094</v>
      </c>
      <c r="E408" s="19">
        <v>45625.0</v>
      </c>
      <c r="F408" s="6" t="s">
        <v>2392</v>
      </c>
      <c r="G408" s="8" t="s">
        <v>2393</v>
      </c>
      <c r="H408" s="9" t="s">
        <v>2394</v>
      </c>
      <c r="I408" s="9">
        <v>11.8</v>
      </c>
      <c r="J408" s="10">
        <v>132.0</v>
      </c>
      <c r="K408" s="9" t="s">
        <v>2395</v>
      </c>
      <c r="L408" s="9" t="s">
        <v>2396</v>
      </c>
      <c r="M408" s="9" t="s">
        <v>2397</v>
      </c>
      <c r="N408" s="11">
        <v>2024.0</v>
      </c>
    </row>
    <row r="409" ht="15.75" customHeight="1">
      <c r="A409" s="5" t="s">
        <v>15</v>
      </c>
      <c r="B409" s="6" t="str">
        <f t="array" ref="B409">XLOOKUP(C409,city_to_region!$B$5:$B$96,city_to_region!$A$5:$A$96)</f>
        <v>Карагандинская</v>
      </c>
      <c r="C409" s="6" t="s">
        <v>1320</v>
      </c>
      <c r="D409" s="6" t="s">
        <v>2094</v>
      </c>
      <c r="E409" s="19">
        <v>45625.0</v>
      </c>
      <c r="F409" s="6" t="s">
        <v>2398</v>
      </c>
      <c r="G409" s="8" t="s">
        <v>2399</v>
      </c>
      <c r="H409" s="9" t="s">
        <v>2400</v>
      </c>
      <c r="I409" s="9">
        <v>11.2</v>
      </c>
      <c r="J409" s="10">
        <v>116.0</v>
      </c>
      <c r="K409" s="9" t="s">
        <v>2401</v>
      </c>
      <c r="L409" s="9" t="s">
        <v>2402</v>
      </c>
      <c r="M409" s="9" t="s">
        <v>2403</v>
      </c>
      <c r="N409" s="11">
        <v>2024.0</v>
      </c>
    </row>
    <row r="410" ht="15.75" customHeight="1">
      <c r="A410" s="5" t="s">
        <v>15</v>
      </c>
      <c r="B410" s="6" t="str">
        <f t="array" ref="B410">XLOOKUP(C410,city_to_region!$B$5:$B$96,city_to_region!$A$5:$A$96)</f>
        <v>Карагандинская</v>
      </c>
      <c r="C410" s="6" t="s">
        <v>1320</v>
      </c>
      <c r="D410" s="8" t="s">
        <v>2404</v>
      </c>
      <c r="E410" s="12">
        <v>45629.0</v>
      </c>
      <c r="F410" s="6" t="s">
        <v>2405</v>
      </c>
      <c r="G410" s="8" t="s">
        <v>2406</v>
      </c>
      <c r="H410" s="9" t="s">
        <v>2407</v>
      </c>
      <c r="I410" s="9">
        <v>10.6</v>
      </c>
      <c r="J410" s="10">
        <v>76.0</v>
      </c>
      <c r="K410" s="9" t="s">
        <v>2408</v>
      </c>
      <c r="L410" s="9" t="s">
        <v>2409</v>
      </c>
      <c r="M410" s="9" t="s">
        <v>2410</v>
      </c>
      <c r="N410" s="11">
        <v>2024.0</v>
      </c>
    </row>
    <row r="411" ht="15.75" customHeight="1">
      <c r="A411" s="5" t="s">
        <v>15</v>
      </c>
      <c r="B411" s="6" t="str">
        <f t="array" ref="B411">XLOOKUP(C411,city_to_region!$B$5:$B$96,city_to_region!$A$5:$A$96)</f>
        <v>Карагандинская</v>
      </c>
      <c r="C411" s="6" t="s">
        <v>1320</v>
      </c>
      <c r="D411" s="6" t="s">
        <v>2021</v>
      </c>
      <c r="E411" s="12">
        <v>45629.0</v>
      </c>
      <c r="F411" s="6" t="s">
        <v>2411</v>
      </c>
      <c r="G411" s="8" t="s">
        <v>2412</v>
      </c>
      <c r="H411" s="9" t="s">
        <v>2413</v>
      </c>
      <c r="I411" s="9">
        <v>10.4</v>
      </c>
      <c r="J411" s="10">
        <v>19.0</v>
      </c>
      <c r="K411" s="9" t="s">
        <v>2414</v>
      </c>
      <c r="L411" s="9" t="s">
        <v>2415</v>
      </c>
      <c r="M411" s="9" t="s">
        <v>2416</v>
      </c>
      <c r="N411" s="11">
        <v>2024.0</v>
      </c>
    </row>
    <row r="412" ht="15.75" customHeight="1">
      <c r="A412" s="5" t="s">
        <v>15</v>
      </c>
      <c r="B412" s="6" t="str">
        <f t="array" ref="B412">XLOOKUP(C412,city_to_region!$B$5:$B$96,city_to_region!$A$5:$A$96)</f>
        <v>Карагандинская</v>
      </c>
      <c r="C412" s="6" t="s">
        <v>1320</v>
      </c>
      <c r="D412" s="8" t="s">
        <v>2417</v>
      </c>
      <c r="E412" s="12">
        <v>45629.0</v>
      </c>
      <c r="F412" s="6" t="s">
        <v>2418</v>
      </c>
      <c r="G412" s="8" t="s">
        <v>2419</v>
      </c>
      <c r="H412" s="9" t="s">
        <v>2420</v>
      </c>
      <c r="I412" s="9">
        <v>11.1</v>
      </c>
      <c r="J412" s="10">
        <v>20.0</v>
      </c>
      <c r="K412" s="9" t="s">
        <v>2421</v>
      </c>
      <c r="L412" s="9" t="s">
        <v>2422</v>
      </c>
      <c r="M412" s="9" t="s">
        <v>2423</v>
      </c>
      <c r="N412" s="11">
        <v>2024.0</v>
      </c>
    </row>
    <row r="413" ht="15.75" customHeight="1">
      <c r="A413" s="5" t="s">
        <v>15</v>
      </c>
      <c r="B413" s="6" t="str">
        <f t="array" ref="B413">XLOOKUP(C413,city_to_region!$B$5:$B$96,city_to_region!$A$5:$A$96)</f>
        <v>Карагандинская</v>
      </c>
      <c r="C413" s="6" t="s">
        <v>1320</v>
      </c>
      <c r="D413" s="6" t="s">
        <v>2034</v>
      </c>
      <c r="E413" s="12">
        <v>45629.0</v>
      </c>
      <c r="F413" s="6" t="s">
        <v>2424</v>
      </c>
      <c r="G413" s="8" t="s">
        <v>2425</v>
      </c>
      <c r="H413" s="9" t="s">
        <v>2426</v>
      </c>
      <c r="I413" s="9">
        <v>11.5</v>
      </c>
      <c r="J413" s="10">
        <v>17.0</v>
      </c>
      <c r="K413" s="9" t="s">
        <v>2427</v>
      </c>
      <c r="L413" s="9" t="s">
        <v>2428</v>
      </c>
      <c r="M413" s="9" t="s">
        <v>2429</v>
      </c>
      <c r="N413" s="11">
        <v>2024.0</v>
      </c>
    </row>
    <row r="414" ht="15.75" customHeight="1">
      <c r="A414" s="5" t="s">
        <v>15</v>
      </c>
      <c r="B414" s="6" t="str">
        <f t="array" ref="B414">XLOOKUP(C414,city_to_region!$B$5:$B$96,city_to_region!$A$5:$A$96)</f>
        <v>Карагандинская</v>
      </c>
      <c r="C414" s="6" t="s">
        <v>1320</v>
      </c>
      <c r="D414" s="8" t="s">
        <v>2430</v>
      </c>
      <c r="E414" s="12">
        <v>45629.0</v>
      </c>
      <c r="F414" s="6" t="s">
        <v>2431</v>
      </c>
      <c r="G414" s="8" t="s">
        <v>2432</v>
      </c>
      <c r="H414" s="9" t="s">
        <v>2433</v>
      </c>
      <c r="I414" s="9">
        <v>11.7</v>
      </c>
      <c r="J414" s="10">
        <v>50.0</v>
      </c>
      <c r="K414" s="9" t="s">
        <v>2434</v>
      </c>
      <c r="L414" s="9" t="s">
        <v>2435</v>
      </c>
      <c r="M414" s="9" t="s">
        <v>2436</v>
      </c>
      <c r="N414" s="11">
        <v>2024.0</v>
      </c>
    </row>
    <row r="415" ht="15.75" customHeight="1">
      <c r="A415" s="5" t="s">
        <v>15</v>
      </c>
      <c r="B415" s="6" t="str">
        <f t="array" ref="B415">XLOOKUP(C415,city_to_region!$B$5:$B$96,city_to_region!$A$5:$A$96)</f>
        <v>Карагандинская</v>
      </c>
      <c r="C415" s="6" t="s">
        <v>1320</v>
      </c>
      <c r="D415" s="6" t="s">
        <v>2047</v>
      </c>
      <c r="E415" s="12">
        <v>45629.0</v>
      </c>
      <c r="F415" s="6" t="s">
        <v>2437</v>
      </c>
      <c r="G415" s="8" t="s">
        <v>2438</v>
      </c>
      <c r="H415" s="9" t="s">
        <v>2439</v>
      </c>
      <c r="I415" s="9">
        <v>13.2</v>
      </c>
      <c r="J415" s="10">
        <v>88.0</v>
      </c>
      <c r="K415" s="9" t="s">
        <v>2440</v>
      </c>
      <c r="L415" s="9" t="s">
        <v>2441</v>
      </c>
      <c r="M415" s="9" t="s">
        <v>2442</v>
      </c>
      <c r="N415" s="11">
        <v>2024.0</v>
      </c>
    </row>
    <row r="416" ht="15.75" customHeight="1">
      <c r="A416" s="5" t="s">
        <v>15</v>
      </c>
      <c r="B416" s="6" t="str">
        <f t="array" ref="B416">XLOOKUP(C416,city_to_region!$B$5:$B$96,city_to_region!$A$5:$A$96)</f>
        <v>Карагандинская</v>
      </c>
      <c r="C416" s="6" t="s">
        <v>1320</v>
      </c>
      <c r="D416" s="8" t="s">
        <v>2443</v>
      </c>
      <c r="E416" s="12">
        <v>45629.0</v>
      </c>
      <c r="F416" s="6" t="s">
        <v>2444</v>
      </c>
      <c r="G416" s="8" t="s">
        <v>2445</v>
      </c>
      <c r="H416" s="9" t="s">
        <v>2446</v>
      </c>
      <c r="I416" s="9">
        <v>12.7</v>
      </c>
      <c r="J416" s="10">
        <v>68.0</v>
      </c>
      <c r="K416" s="9" t="s">
        <v>2447</v>
      </c>
      <c r="L416" s="9" t="s">
        <v>2448</v>
      </c>
      <c r="M416" s="9" t="s">
        <v>2449</v>
      </c>
      <c r="N416" s="11">
        <v>2024.0</v>
      </c>
    </row>
    <row r="417" ht="15.75" customHeight="1">
      <c r="A417" s="5" t="s">
        <v>15</v>
      </c>
      <c r="B417" s="6" t="str">
        <f t="array" ref="B417">XLOOKUP(C417,city_to_region!$B$5:$B$96,city_to_region!$A$5:$A$96)</f>
        <v>Карагандинская</v>
      </c>
      <c r="C417" s="6" t="s">
        <v>1320</v>
      </c>
      <c r="D417" s="6" t="s">
        <v>2060</v>
      </c>
      <c r="E417" s="12">
        <v>45629.0</v>
      </c>
      <c r="F417" s="6" t="s">
        <v>2450</v>
      </c>
      <c r="G417" s="8" t="s">
        <v>2451</v>
      </c>
      <c r="H417" s="9" t="s">
        <v>2452</v>
      </c>
      <c r="I417" s="9">
        <v>10.4</v>
      </c>
      <c r="J417" s="10">
        <v>83.0</v>
      </c>
      <c r="K417" s="9" t="s">
        <v>2453</v>
      </c>
      <c r="L417" s="9" t="s">
        <v>2454</v>
      </c>
      <c r="M417" s="9" t="s">
        <v>2455</v>
      </c>
      <c r="N417" s="11">
        <v>2024.0</v>
      </c>
    </row>
    <row r="418" ht="15.75" customHeight="1">
      <c r="A418" s="5" t="s">
        <v>15</v>
      </c>
      <c r="B418" s="6" t="str">
        <f t="array" ref="B418">XLOOKUP(C418,city_to_region!$B$5:$B$96,city_to_region!$A$5:$A$96)</f>
        <v>Карагандинская</v>
      </c>
      <c r="C418" s="6" t="s">
        <v>1320</v>
      </c>
      <c r="D418" s="8" t="s">
        <v>2456</v>
      </c>
      <c r="E418" s="12">
        <v>45630.0</v>
      </c>
      <c r="F418" s="6" t="s">
        <v>2457</v>
      </c>
      <c r="G418" s="8" t="s">
        <v>2458</v>
      </c>
      <c r="H418" s="9" t="s">
        <v>2459</v>
      </c>
      <c r="I418" s="9">
        <v>10.4</v>
      </c>
      <c r="J418" s="10">
        <v>30.0</v>
      </c>
      <c r="K418" s="9" t="s">
        <v>2460</v>
      </c>
      <c r="L418" s="9" t="s">
        <v>2461</v>
      </c>
      <c r="M418" s="9" t="s">
        <v>2462</v>
      </c>
      <c r="N418" s="11">
        <v>2024.0</v>
      </c>
    </row>
    <row r="419" ht="15.75" customHeight="1">
      <c r="A419" s="5" t="s">
        <v>15</v>
      </c>
      <c r="B419" s="6" t="str">
        <f t="array" ref="B419">XLOOKUP(C419,city_to_region!$B$5:$B$96,city_to_region!$A$5:$A$96)</f>
        <v>Карагандинская</v>
      </c>
      <c r="C419" s="6" t="s">
        <v>1320</v>
      </c>
      <c r="D419" s="6" t="s">
        <v>2073</v>
      </c>
      <c r="E419" s="12">
        <v>45630.0</v>
      </c>
      <c r="F419" s="6" t="s">
        <v>2463</v>
      </c>
      <c r="G419" s="8" t="s">
        <v>2464</v>
      </c>
      <c r="H419" s="9" t="s">
        <v>2465</v>
      </c>
      <c r="I419" s="9">
        <v>10.2</v>
      </c>
      <c r="J419" s="10">
        <v>24.0</v>
      </c>
      <c r="K419" s="9" t="s">
        <v>2466</v>
      </c>
      <c r="L419" s="9" t="s">
        <v>2467</v>
      </c>
      <c r="M419" s="9" t="s">
        <v>2468</v>
      </c>
      <c r="N419" s="11">
        <v>2024.0</v>
      </c>
    </row>
    <row r="420" ht="15.75" customHeight="1">
      <c r="A420" s="5" t="s">
        <v>15</v>
      </c>
      <c r="B420" s="6" t="str">
        <f t="array" ref="B420">XLOOKUP(C420,city_to_region!$B$5:$B$96,city_to_region!$A$5:$A$96)</f>
        <v>Карагандинская</v>
      </c>
      <c r="C420" s="6" t="s">
        <v>1320</v>
      </c>
      <c r="D420" s="8" t="s">
        <v>2469</v>
      </c>
      <c r="E420" s="12">
        <v>45631.0</v>
      </c>
      <c r="F420" s="6" t="s">
        <v>2470</v>
      </c>
      <c r="G420" s="6" t="s">
        <v>2471</v>
      </c>
      <c r="H420" s="9" t="s">
        <v>2472</v>
      </c>
      <c r="I420" s="9">
        <v>10.71</v>
      </c>
      <c r="J420" s="10">
        <v>90.0</v>
      </c>
      <c r="K420" s="9" t="s">
        <v>2473</v>
      </c>
      <c r="L420" s="9" t="s">
        <v>2474</v>
      </c>
      <c r="M420" s="9" t="s">
        <v>2475</v>
      </c>
      <c r="N420" s="11">
        <v>2024.0</v>
      </c>
    </row>
    <row r="421" ht="15.75" customHeight="1">
      <c r="A421" s="5" t="s">
        <v>15</v>
      </c>
      <c r="B421" s="6" t="str">
        <f t="array" ref="B421">XLOOKUP(C421,city_to_region!$B$5:$B$96,city_to_region!$A$5:$A$96)</f>
        <v>Карагандинская</v>
      </c>
      <c r="C421" s="6" t="s">
        <v>1320</v>
      </c>
      <c r="D421" s="8" t="s">
        <v>2476</v>
      </c>
      <c r="E421" s="12">
        <v>45631.0</v>
      </c>
      <c r="F421" s="6" t="s">
        <v>2477</v>
      </c>
      <c r="G421" s="6" t="s">
        <v>2478</v>
      </c>
      <c r="H421" s="9" t="s">
        <v>2479</v>
      </c>
      <c r="I421" s="9">
        <v>11.8</v>
      </c>
      <c r="J421" s="10">
        <v>42.0</v>
      </c>
      <c r="K421" s="9" t="s">
        <v>2480</v>
      </c>
      <c r="L421" s="9" t="s">
        <v>2481</v>
      </c>
      <c r="M421" s="9" t="s">
        <v>2482</v>
      </c>
      <c r="N421" s="11">
        <v>2024.0</v>
      </c>
    </row>
    <row r="422" ht="15.75" customHeight="1">
      <c r="A422" s="5" t="s">
        <v>15</v>
      </c>
      <c r="B422" s="6" t="str">
        <f t="array" ref="B422">XLOOKUP(C422,city_to_region!$B$5:$B$96,city_to_region!$A$5:$A$96)</f>
        <v>Карагандинская</v>
      </c>
      <c r="C422" s="6" t="s">
        <v>1320</v>
      </c>
      <c r="D422" s="8" t="s">
        <v>2483</v>
      </c>
      <c r="E422" s="12">
        <v>45631.0</v>
      </c>
      <c r="F422" s="6" t="s">
        <v>2484</v>
      </c>
      <c r="G422" s="6" t="s">
        <v>2485</v>
      </c>
      <c r="H422" s="9" t="s">
        <v>2486</v>
      </c>
      <c r="I422" s="9">
        <v>15.87</v>
      </c>
      <c r="J422" s="10">
        <v>82.0</v>
      </c>
      <c r="K422" s="9" t="s">
        <v>2487</v>
      </c>
      <c r="L422" s="9" t="s">
        <v>2488</v>
      </c>
      <c r="M422" s="9" t="s">
        <v>2489</v>
      </c>
      <c r="N422" s="11">
        <v>2024.0</v>
      </c>
    </row>
    <row r="423" ht="15.75" customHeight="1">
      <c r="A423" s="5" t="s">
        <v>15</v>
      </c>
      <c r="B423" s="6" t="str">
        <f t="array" ref="B423">XLOOKUP(C423,city_to_region!$B$5:$B$96,city_to_region!$A$5:$A$96)</f>
        <v>Карагандинская</v>
      </c>
      <c r="C423" s="6" t="s">
        <v>1320</v>
      </c>
      <c r="D423" s="8" t="s">
        <v>2490</v>
      </c>
      <c r="E423" s="12">
        <v>45631.0</v>
      </c>
      <c r="F423" s="6" t="s">
        <v>2491</v>
      </c>
      <c r="G423" s="6" t="s">
        <v>2492</v>
      </c>
      <c r="H423" s="9" t="s">
        <v>2493</v>
      </c>
      <c r="I423" s="9">
        <v>21.13</v>
      </c>
      <c r="J423" s="10">
        <v>92.0</v>
      </c>
      <c r="K423" s="9" t="s">
        <v>2494</v>
      </c>
      <c r="L423" s="9" t="s">
        <v>2495</v>
      </c>
      <c r="M423" s="9" t="s">
        <v>2496</v>
      </c>
      <c r="N423" s="11">
        <v>2024.0</v>
      </c>
    </row>
    <row r="424" ht="15.75" customHeight="1">
      <c r="A424" s="5" t="s">
        <v>15</v>
      </c>
      <c r="B424" s="6" t="str">
        <f t="array" ref="B424">XLOOKUP(C424,city_to_region!$B$5:$B$96,city_to_region!$A$5:$A$96)</f>
        <v>Карагандинская</v>
      </c>
      <c r="C424" s="6" t="s">
        <v>1320</v>
      </c>
      <c r="D424" s="8" t="s">
        <v>2497</v>
      </c>
      <c r="E424" s="12">
        <v>45631.0</v>
      </c>
      <c r="F424" s="6" t="s">
        <v>2498</v>
      </c>
      <c r="G424" s="6" t="s">
        <v>2499</v>
      </c>
      <c r="H424" s="9" t="s">
        <v>2500</v>
      </c>
      <c r="I424" s="9">
        <v>14.37</v>
      </c>
      <c r="J424" s="10">
        <v>55.0</v>
      </c>
      <c r="K424" s="9" t="s">
        <v>2501</v>
      </c>
      <c r="L424" s="9" t="s">
        <v>2502</v>
      </c>
      <c r="M424" s="9" t="s">
        <v>2503</v>
      </c>
      <c r="N424" s="11">
        <v>2024.0</v>
      </c>
    </row>
    <row r="425" ht="15.75" customHeight="1">
      <c r="A425" s="5" t="s">
        <v>15</v>
      </c>
      <c r="B425" s="6" t="str">
        <f t="array" ref="B425">XLOOKUP(C425,city_to_region!$B$5:$B$96,city_to_region!$A$5:$A$96)</f>
        <v>Карагандинская</v>
      </c>
      <c r="C425" s="6" t="s">
        <v>1320</v>
      </c>
      <c r="D425" s="8" t="s">
        <v>2504</v>
      </c>
      <c r="E425" s="12">
        <v>45631.0</v>
      </c>
      <c r="F425" s="6" t="s">
        <v>2505</v>
      </c>
      <c r="G425" s="6" t="s">
        <v>2506</v>
      </c>
      <c r="H425" s="9" t="s">
        <v>2507</v>
      </c>
      <c r="I425" s="9">
        <v>12.51</v>
      </c>
      <c r="J425" s="10">
        <v>66.0</v>
      </c>
      <c r="K425" s="9" t="s">
        <v>2508</v>
      </c>
      <c r="L425" s="9" t="s">
        <v>2509</v>
      </c>
      <c r="M425" s="9" t="s">
        <v>2510</v>
      </c>
      <c r="N425" s="11">
        <v>2024.0</v>
      </c>
    </row>
    <row r="426" ht="15.75" customHeight="1">
      <c r="A426" s="5" t="s">
        <v>15</v>
      </c>
      <c r="B426" s="6" t="str">
        <f t="array" ref="B426">XLOOKUP(C426,city_to_region!$B$5:$B$96,city_to_region!$A$5:$A$96)</f>
        <v>Карагандинская</v>
      </c>
      <c r="C426" s="6" t="s">
        <v>1320</v>
      </c>
      <c r="D426" s="8" t="s">
        <v>2511</v>
      </c>
      <c r="E426" s="12">
        <v>45631.0</v>
      </c>
      <c r="F426" s="6" t="s">
        <v>2512</v>
      </c>
      <c r="G426" s="6" t="s">
        <v>2513</v>
      </c>
      <c r="H426" s="9" t="s">
        <v>2514</v>
      </c>
      <c r="I426" s="9">
        <v>11.3</v>
      </c>
      <c r="J426" s="10">
        <v>92.0</v>
      </c>
      <c r="K426" s="9" t="s">
        <v>2515</v>
      </c>
      <c r="L426" s="9" t="s">
        <v>2516</v>
      </c>
      <c r="M426" s="9" t="s">
        <v>2517</v>
      </c>
      <c r="N426" s="11">
        <v>2024.0</v>
      </c>
    </row>
    <row r="427" ht="15.75" customHeight="1">
      <c r="A427" s="5" t="s">
        <v>15</v>
      </c>
      <c r="B427" s="6" t="str">
        <f t="array" ref="B427">XLOOKUP(C427,city_to_region!$B$5:$B$96,city_to_region!$A$5:$A$96)</f>
        <v>Карагандинская</v>
      </c>
      <c r="C427" s="6" t="s">
        <v>1320</v>
      </c>
      <c r="D427" s="8" t="s">
        <v>2518</v>
      </c>
      <c r="E427" s="12">
        <v>45632.0</v>
      </c>
      <c r="F427" s="6" t="s">
        <v>2519</v>
      </c>
      <c r="G427" s="6" t="s">
        <v>2520</v>
      </c>
      <c r="H427" s="9" t="s">
        <v>2521</v>
      </c>
      <c r="I427" s="9">
        <v>11.5</v>
      </c>
      <c r="J427" s="10">
        <v>182.0</v>
      </c>
      <c r="K427" s="9" t="s">
        <v>2522</v>
      </c>
      <c r="L427" s="9" t="s">
        <v>2523</v>
      </c>
      <c r="M427" s="9" t="s">
        <v>2524</v>
      </c>
      <c r="N427" s="11">
        <v>2024.0</v>
      </c>
    </row>
    <row r="428" ht="15.75" customHeight="1">
      <c r="A428" s="5" t="s">
        <v>15</v>
      </c>
      <c r="B428" s="6" t="str">
        <f t="array" ref="B428">XLOOKUP(C428,city_to_region!$B$5:$B$96,city_to_region!$A$5:$A$96)</f>
        <v>Карагандинская</v>
      </c>
      <c r="C428" s="6" t="s">
        <v>1320</v>
      </c>
      <c r="D428" s="8" t="s">
        <v>2525</v>
      </c>
      <c r="E428" s="12">
        <v>45636.0</v>
      </c>
      <c r="F428" s="6" t="s">
        <v>2526</v>
      </c>
      <c r="G428" s="6" t="s">
        <v>2527</v>
      </c>
      <c r="H428" s="9" t="s">
        <v>2528</v>
      </c>
      <c r="I428" s="9">
        <v>11.0</v>
      </c>
      <c r="J428" s="10">
        <v>61.0</v>
      </c>
      <c r="K428" s="9" t="s">
        <v>2529</v>
      </c>
      <c r="L428" s="9" t="s">
        <v>2530</v>
      </c>
      <c r="M428" s="9" t="s">
        <v>2531</v>
      </c>
      <c r="N428" s="11">
        <v>2024.0</v>
      </c>
    </row>
    <row r="429" ht="15.75" customHeight="1">
      <c r="A429" s="5" t="s">
        <v>15</v>
      </c>
      <c r="B429" s="6" t="str">
        <f t="array" ref="B429">XLOOKUP(C429,city_to_region!$B$5:$B$96,city_to_region!$A$5:$A$96)</f>
        <v>Карагандинская</v>
      </c>
      <c r="C429" s="6" t="s">
        <v>1320</v>
      </c>
      <c r="D429" s="8" t="s">
        <v>2532</v>
      </c>
      <c r="E429" s="12">
        <v>45650.0</v>
      </c>
      <c r="F429" s="6" t="s">
        <v>2533</v>
      </c>
      <c r="G429" s="6" t="s">
        <v>2534</v>
      </c>
      <c r="H429" s="9" t="s">
        <v>2535</v>
      </c>
      <c r="I429" s="9">
        <v>10.8</v>
      </c>
      <c r="J429" s="10">
        <v>75.0</v>
      </c>
      <c r="K429" s="9" t="s">
        <v>2536</v>
      </c>
      <c r="L429" s="9" t="s">
        <v>2537</v>
      </c>
      <c r="M429" s="9" t="s">
        <v>2538</v>
      </c>
      <c r="N429" s="11">
        <v>2024.0</v>
      </c>
    </row>
    <row r="430" ht="15.75" customHeight="1">
      <c r="A430" s="5" t="s">
        <v>15</v>
      </c>
      <c r="B430" s="6" t="str">
        <f t="array" ref="B430">XLOOKUP(C430,city_to_region!$B$5:$B$96,city_to_region!$A$5:$A$96)</f>
        <v>Карагандинская</v>
      </c>
      <c r="C430" s="6" t="s">
        <v>1320</v>
      </c>
      <c r="D430" s="8" t="s">
        <v>2539</v>
      </c>
      <c r="E430" s="12">
        <v>45650.0</v>
      </c>
      <c r="F430" s="6" t="s">
        <v>2540</v>
      </c>
      <c r="G430" s="6" t="s">
        <v>2541</v>
      </c>
      <c r="H430" s="9" t="s">
        <v>2542</v>
      </c>
      <c r="I430" s="9">
        <v>17.1</v>
      </c>
      <c r="J430" s="10">
        <v>81.0</v>
      </c>
      <c r="K430" s="9" t="s">
        <v>2543</v>
      </c>
      <c r="L430" s="9" t="s">
        <v>2544</v>
      </c>
      <c r="M430" s="9" t="s">
        <v>2545</v>
      </c>
      <c r="N430" s="11">
        <v>2024.0</v>
      </c>
    </row>
    <row r="431" ht="15.75" customHeight="1">
      <c r="A431" s="5" t="s">
        <v>15</v>
      </c>
      <c r="B431" s="6" t="str">
        <f t="array" ref="B431">XLOOKUP(C431,city_to_region!$B$5:$B$96,city_to_region!$A$5:$A$96)</f>
        <v>Карагандинская</v>
      </c>
      <c r="C431" s="6" t="s">
        <v>1320</v>
      </c>
      <c r="D431" s="8" t="s">
        <v>2546</v>
      </c>
      <c r="E431" s="12">
        <v>45650.0</v>
      </c>
      <c r="F431" s="6" t="s">
        <v>2547</v>
      </c>
      <c r="G431" s="6" t="s">
        <v>2548</v>
      </c>
      <c r="H431" s="9" t="s">
        <v>2549</v>
      </c>
      <c r="I431" s="9">
        <v>13.0</v>
      </c>
      <c r="J431" s="10">
        <v>50.0</v>
      </c>
      <c r="K431" s="9" t="s">
        <v>2550</v>
      </c>
      <c r="L431" s="9" t="s">
        <v>2551</v>
      </c>
      <c r="M431" s="9" t="s">
        <v>2552</v>
      </c>
      <c r="N431" s="11">
        <v>2024.0</v>
      </c>
    </row>
    <row r="432" ht="15.75" customHeight="1">
      <c r="A432" s="5" t="s">
        <v>15</v>
      </c>
      <c r="B432" s="6" t="str">
        <f t="array" ref="B432">XLOOKUP(C432,city_to_region!$B$5:$B$96,city_to_region!$A$5:$A$96)</f>
        <v>Карагандинская</v>
      </c>
      <c r="C432" s="6" t="s">
        <v>1320</v>
      </c>
      <c r="D432" s="8" t="s">
        <v>2553</v>
      </c>
      <c r="E432" s="12">
        <v>45650.0</v>
      </c>
      <c r="F432" s="6" t="s">
        <v>2554</v>
      </c>
      <c r="G432" s="6" t="s">
        <v>2555</v>
      </c>
      <c r="H432" s="9" t="s">
        <v>2556</v>
      </c>
      <c r="I432" s="9">
        <v>15.4</v>
      </c>
      <c r="J432" s="10">
        <v>86.0</v>
      </c>
      <c r="K432" s="9" t="s">
        <v>2557</v>
      </c>
      <c r="L432" s="9" t="s">
        <v>2558</v>
      </c>
      <c r="M432" s="9" t="s">
        <v>2559</v>
      </c>
      <c r="N432" s="11">
        <v>2024.0</v>
      </c>
    </row>
    <row r="433" ht="15.75" customHeight="1">
      <c r="A433" s="5" t="s">
        <v>15</v>
      </c>
      <c r="B433" s="6" t="str">
        <f t="array" ref="B433">XLOOKUP(C433,city_to_region!$B$5:$B$96,city_to_region!$A$5:$A$96)</f>
        <v>Карагандинская</v>
      </c>
      <c r="C433" s="6" t="s">
        <v>1320</v>
      </c>
      <c r="D433" s="8" t="s">
        <v>2560</v>
      </c>
      <c r="E433" s="12">
        <v>45650.0</v>
      </c>
      <c r="F433" s="6" t="s">
        <v>2561</v>
      </c>
      <c r="G433" s="6" t="s">
        <v>2562</v>
      </c>
      <c r="H433" s="9" t="s">
        <v>2563</v>
      </c>
      <c r="I433" s="9">
        <v>13.0</v>
      </c>
      <c r="J433" s="10">
        <v>50.0</v>
      </c>
      <c r="K433" s="9" t="s">
        <v>2564</v>
      </c>
      <c r="L433" s="9" t="s">
        <v>2565</v>
      </c>
      <c r="M433" s="9" t="s">
        <v>2566</v>
      </c>
      <c r="N433" s="11">
        <v>2024.0</v>
      </c>
    </row>
    <row r="434" ht="15.75" customHeight="1">
      <c r="A434" s="5" t="s">
        <v>15</v>
      </c>
      <c r="B434" s="6" t="str">
        <f t="array" ref="B434">XLOOKUP(C434,city_to_region!$B$5:$B$96,city_to_region!$A$5:$A$96)</f>
        <v>Карагандинская</v>
      </c>
      <c r="C434" s="6" t="s">
        <v>1320</v>
      </c>
      <c r="D434" s="8" t="s">
        <v>2567</v>
      </c>
      <c r="E434" s="12">
        <v>45651.0</v>
      </c>
      <c r="F434" s="6" t="s">
        <v>2568</v>
      </c>
      <c r="G434" s="6" t="s">
        <v>2569</v>
      </c>
      <c r="H434" s="9" t="s">
        <v>2570</v>
      </c>
      <c r="I434" s="9">
        <v>10.6</v>
      </c>
      <c r="J434" s="10">
        <v>45.0</v>
      </c>
      <c r="K434" s="9" t="s">
        <v>2571</v>
      </c>
      <c r="L434" s="9" t="s">
        <v>2572</v>
      </c>
      <c r="M434" s="9" t="s">
        <v>2573</v>
      </c>
      <c r="N434" s="11">
        <v>2024.0</v>
      </c>
    </row>
    <row r="435" ht="15.75" customHeight="1">
      <c r="A435" s="5" t="s">
        <v>15</v>
      </c>
      <c r="B435" s="6" t="str">
        <f t="array" ref="B435">XLOOKUP(C435,city_to_region!$B$5:$B$96,city_to_region!$A$5:$A$96)</f>
        <v>Карагандинская</v>
      </c>
      <c r="C435" s="6" t="s">
        <v>1320</v>
      </c>
      <c r="D435" s="8" t="s">
        <v>2574</v>
      </c>
      <c r="E435" s="12">
        <v>45651.0</v>
      </c>
      <c r="F435" s="6" t="s">
        <v>2575</v>
      </c>
      <c r="G435" s="6" t="s">
        <v>2576</v>
      </c>
      <c r="H435" s="9" t="s">
        <v>2577</v>
      </c>
      <c r="I435" s="9">
        <v>13.8</v>
      </c>
      <c r="J435" s="10">
        <v>119.0</v>
      </c>
      <c r="K435" s="9" t="s">
        <v>2578</v>
      </c>
      <c r="L435" s="9" t="s">
        <v>2579</v>
      </c>
      <c r="M435" s="9" t="s">
        <v>2580</v>
      </c>
      <c r="N435" s="11">
        <v>2024.0</v>
      </c>
    </row>
    <row r="436" ht="15.75" customHeight="1">
      <c r="A436" s="5" t="s">
        <v>15</v>
      </c>
      <c r="B436" s="6" t="str">
        <f t="array" ref="B436">XLOOKUP(C436,city_to_region!$B$5:$B$96,city_to_region!$A$5:$A$96)</f>
        <v>Карагандинская</v>
      </c>
      <c r="C436" s="6" t="s">
        <v>1320</v>
      </c>
      <c r="D436" s="8" t="s">
        <v>2581</v>
      </c>
      <c r="E436" s="12">
        <v>45651.0</v>
      </c>
      <c r="F436" s="6" t="s">
        <v>2582</v>
      </c>
      <c r="G436" s="6" t="s">
        <v>2583</v>
      </c>
      <c r="H436" s="9" t="s">
        <v>2584</v>
      </c>
      <c r="I436" s="9">
        <v>11.7</v>
      </c>
      <c r="J436" s="10">
        <v>129.0</v>
      </c>
      <c r="K436" s="9" t="s">
        <v>2585</v>
      </c>
      <c r="L436" s="9" t="s">
        <v>2586</v>
      </c>
      <c r="M436" s="9" t="s">
        <v>2587</v>
      </c>
      <c r="N436" s="11">
        <v>2024.0</v>
      </c>
    </row>
    <row r="437" ht="15.75" customHeight="1">
      <c r="A437" s="5" t="s">
        <v>15</v>
      </c>
      <c r="B437" s="6" t="str">
        <f t="array" ref="B437">XLOOKUP(C437,city_to_region!$B$5:$B$96,city_to_region!$A$5:$A$96)</f>
        <v>Область Улытау</v>
      </c>
      <c r="C437" s="6" t="s">
        <v>2588</v>
      </c>
      <c r="D437" s="6" t="s">
        <v>2589</v>
      </c>
      <c r="E437" s="12">
        <v>45554.0</v>
      </c>
      <c r="F437" s="6" t="s">
        <v>2590</v>
      </c>
      <c r="G437" s="6" t="s">
        <v>2591</v>
      </c>
      <c r="H437" s="9" t="s">
        <v>2592</v>
      </c>
      <c r="I437" s="9">
        <v>10.0</v>
      </c>
      <c r="J437" s="10">
        <v>189.0</v>
      </c>
      <c r="K437" s="9" t="s">
        <v>2593</v>
      </c>
      <c r="L437" s="10">
        <v>17.0</v>
      </c>
      <c r="M437" s="18"/>
      <c r="N437" s="11"/>
    </row>
    <row r="438" ht="15.75" customHeight="1">
      <c r="A438" s="5" t="s">
        <v>15</v>
      </c>
      <c r="B438" s="6" t="str">
        <f t="array" ref="B438">XLOOKUP(C438,city_to_region!$B$5:$B$96,city_to_region!$A$5:$A$96)</f>
        <v>г. Шымкент</v>
      </c>
      <c r="C438" s="6" t="s">
        <v>2594</v>
      </c>
      <c r="D438" s="6" t="s">
        <v>2595</v>
      </c>
      <c r="E438" s="12">
        <v>45501.0</v>
      </c>
      <c r="F438" s="6" t="s">
        <v>2596</v>
      </c>
      <c r="G438" s="6" t="s">
        <v>2597</v>
      </c>
      <c r="H438" s="9" t="s">
        <v>2598</v>
      </c>
      <c r="I438" s="9">
        <v>13.3</v>
      </c>
      <c r="J438" s="10">
        <v>150.0</v>
      </c>
      <c r="K438" s="9" t="s">
        <v>2599</v>
      </c>
      <c r="L438" s="9" t="s">
        <v>2600</v>
      </c>
      <c r="M438" s="9" t="s">
        <v>2601</v>
      </c>
      <c r="N438" s="11"/>
    </row>
    <row r="439" ht="15.75" customHeight="1">
      <c r="A439" s="5" t="s">
        <v>15</v>
      </c>
      <c r="B439" s="6" t="str">
        <f t="array" ref="B439">XLOOKUP(C439,city_to_region!$B$5:$B$96,city_to_region!$A$5:$A$96)</f>
        <v>г. Шымкент</v>
      </c>
      <c r="C439" s="6" t="s">
        <v>2594</v>
      </c>
      <c r="D439" s="6" t="s">
        <v>2602</v>
      </c>
      <c r="E439" s="12">
        <v>45501.0</v>
      </c>
      <c r="F439" s="6" t="s">
        <v>2603</v>
      </c>
      <c r="G439" s="6" t="s">
        <v>2604</v>
      </c>
      <c r="H439" s="9" t="s">
        <v>2605</v>
      </c>
      <c r="I439" s="9">
        <v>35.3</v>
      </c>
      <c r="J439" s="10">
        <v>150.0</v>
      </c>
      <c r="K439" s="9" t="s">
        <v>2606</v>
      </c>
      <c r="L439" s="9" t="s">
        <v>2607</v>
      </c>
      <c r="M439" s="9" t="s">
        <v>2608</v>
      </c>
      <c r="N439" s="11"/>
    </row>
    <row r="440" ht="15.75" customHeight="1">
      <c r="A440" s="5" t="s">
        <v>15</v>
      </c>
      <c r="B440" s="6" t="str">
        <f t="array" ref="B440">XLOOKUP(C440,city_to_region!$B$5:$B$96,city_to_region!$A$5:$A$96)</f>
        <v>г. Шымкент</v>
      </c>
      <c r="C440" s="6" t="s">
        <v>2594</v>
      </c>
      <c r="D440" s="6" t="s">
        <v>2609</v>
      </c>
      <c r="E440" s="12">
        <v>45501.0</v>
      </c>
      <c r="F440" s="6" t="s">
        <v>2610</v>
      </c>
      <c r="G440" s="6" t="s">
        <v>2611</v>
      </c>
      <c r="H440" s="9" t="s">
        <v>2612</v>
      </c>
      <c r="I440" s="9">
        <v>47.9</v>
      </c>
      <c r="J440" s="10">
        <v>140.0</v>
      </c>
      <c r="K440" s="9" t="s">
        <v>2613</v>
      </c>
      <c r="L440" s="9" t="s">
        <v>2614</v>
      </c>
      <c r="M440" s="9" t="s">
        <v>2615</v>
      </c>
      <c r="N440" s="11"/>
    </row>
    <row r="441" ht="15.75" customHeight="1">
      <c r="A441" s="5" t="s">
        <v>15</v>
      </c>
      <c r="B441" s="6" t="str">
        <f t="array" ref="B441">XLOOKUP(C441,city_to_region!$B$5:$B$96,city_to_region!$A$5:$A$96)</f>
        <v>г. Шымкент</v>
      </c>
      <c r="C441" s="6" t="s">
        <v>2594</v>
      </c>
      <c r="D441" s="6" t="s">
        <v>2616</v>
      </c>
      <c r="E441" s="12">
        <v>45501.0</v>
      </c>
      <c r="F441" s="6" t="s">
        <v>2617</v>
      </c>
      <c r="G441" s="6" t="s">
        <v>2611</v>
      </c>
      <c r="H441" s="9" t="s">
        <v>2618</v>
      </c>
      <c r="I441" s="9">
        <v>49.2</v>
      </c>
      <c r="J441" s="10">
        <v>140.0</v>
      </c>
      <c r="M441" s="9" t="s">
        <v>2619</v>
      </c>
      <c r="N441" s="11"/>
    </row>
    <row r="442" ht="15.75" customHeight="1">
      <c r="A442" s="5" t="s">
        <v>15</v>
      </c>
      <c r="B442" s="6" t="str">
        <f t="array" ref="B442">XLOOKUP(C442,city_to_region!$B$5:$B$96,city_to_region!$A$5:$A$96)</f>
        <v>г. Шымкент</v>
      </c>
      <c r="C442" s="6" t="s">
        <v>2594</v>
      </c>
      <c r="D442" s="6" t="s">
        <v>2620</v>
      </c>
      <c r="E442" s="12">
        <v>45501.0</v>
      </c>
      <c r="F442" s="6" t="s">
        <v>2621</v>
      </c>
      <c r="G442" s="6" t="s">
        <v>2611</v>
      </c>
      <c r="H442" s="9" t="s">
        <v>2622</v>
      </c>
      <c r="I442" s="9">
        <v>37.8</v>
      </c>
      <c r="J442" s="10">
        <v>140.0</v>
      </c>
      <c r="K442" s="9" t="s">
        <v>2623</v>
      </c>
      <c r="L442" s="9" t="s">
        <v>2624</v>
      </c>
      <c r="M442" s="9" t="s">
        <v>2625</v>
      </c>
      <c r="N442" s="11"/>
    </row>
    <row r="443" ht="15.75" customHeight="1">
      <c r="A443" s="5" t="s">
        <v>15</v>
      </c>
      <c r="B443" s="6" t="str">
        <f t="array" ref="B443">XLOOKUP(C443,city_to_region!$B$5:$B$96,city_to_region!$A$5:$A$96)</f>
        <v>г. Шымкент</v>
      </c>
      <c r="C443" s="6" t="s">
        <v>2594</v>
      </c>
      <c r="D443" s="6" t="s">
        <v>2626</v>
      </c>
      <c r="E443" s="12">
        <v>45501.0</v>
      </c>
      <c r="F443" s="6" t="s">
        <v>2627</v>
      </c>
      <c r="G443" s="6" t="s">
        <v>2611</v>
      </c>
      <c r="H443" s="9" t="s">
        <v>2628</v>
      </c>
      <c r="I443" s="9">
        <v>31.9</v>
      </c>
      <c r="J443" s="10">
        <v>140.0</v>
      </c>
      <c r="K443" s="9" t="s">
        <v>2606</v>
      </c>
      <c r="L443" s="9" t="s">
        <v>2629</v>
      </c>
      <c r="M443" s="9" t="s">
        <v>2630</v>
      </c>
      <c r="N443" s="11"/>
    </row>
    <row r="444" ht="15.75" customHeight="1">
      <c r="A444" s="5" t="s">
        <v>15</v>
      </c>
      <c r="B444" s="6" t="str">
        <f t="array" ref="B444">XLOOKUP(C444,city_to_region!$B$5:$B$96,city_to_region!$A$5:$A$96)</f>
        <v>г. Шымкент</v>
      </c>
      <c r="C444" s="6" t="s">
        <v>2594</v>
      </c>
      <c r="D444" s="6" t="s">
        <v>2631</v>
      </c>
      <c r="E444" s="12">
        <v>45501.0</v>
      </c>
      <c r="F444" s="6" t="s">
        <v>2632</v>
      </c>
      <c r="G444" s="6" t="s">
        <v>2611</v>
      </c>
      <c r="H444" s="9" t="s">
        <v>2633</v>
      </c>
      <c r="I444" s="9">
        <v>24.1</v>
      </c>
      <c r="J444" s="10">
        <v>140.0</v>
      </c>
      <c r="K444" s="9" t="s">
        <v>2634</v>
      </c>
      <c r="L444" s="9" t="s">
        <v>2635</v>
      </c>
      <c r="M444" s="9" t="s">
        <v>2636</v>
      </c>
      <c r="N444" s="11"/>
    </row>
    <row r="445" ht="15.75" customHeight="1">
      <c r="A445" s="5" t="s">
        <v>15</v>
      </c>
      <c r="B445" s="6" t="str">
        <f t="array" ref="B445">XLOOKUP(C445,city_to_region!$B$5:$B$96,city_to_region!$A$5:$A$96)</f>
        <v>г. Шымкент</v>
      </c>
      <c r="C445" s="6" t="s">
        <v>2594</v>
      </c>
      <c r="D445" s="6" t="s">
        <v>2637</v>
      </c>
      <c r="E445" s="12">
        <v>45501.0</v>
      </c>
      <c r="F445" s="6" t="s">
        <v>2638</v>
      </c>
      <c r="G445" s="6" t="s">
        <v>2611</v>
      </c>
      <c r="H445" s="9" t="s">
        <v>2639</v>
      </c>
      <c r="I445" s="9">
        <v>23.9</v>
      </c>
      <c r="J445" s="10">
        <v>140.0</v>
      </c>
      <c r="K445" s="9" t="s">
        <v>2640</v>
      </c>
      <c r="L445" s="9" t="s">
        <v>2641</v>
      </c>
      <c r="M445" s="9" t="s">
        <v>2642</v>
      </c>
      <c r="N445" s="11"/>
    </row>
    <row r="446" ht="15.75" customHeight="1">
      <c r="A446" s="5" t="s">
        <v>15</v>
      </c>
      <c r="B446" s="6" t="str">
        <f t="array" ref="B446">XLOOKUP(C446,city_to_region!$B$5:$B$96,city_to_region!$A$5:$A$96)</f>
        <v>г. Шымкент</v>
      </c>
      <c r="C446" s="6" t="s">
        <v>2594</v>
      </c>
      <c r="D446" s="6" t="s">
        <v>2643</v>
      </c>
      <c r="E446" s="12">
        <v>45501.0</v>
      </c>
      <c r="F446" s="6" t="s">
        <v>2644</v>
      </c>
      <c r="G446" s="6" t="s">
        <v>2611</v>
      </c>
      <c r="H446" s="9" t="s">
        <v>2645</v>
      </c>
      <c r="I446" s="9">
        <v>16.7</v>
      </c>
      <c r="J446" s="10">
        <v>140.0</v>
      </c>
      <c r="K446" s="9" t="s">
        <v>2646</v>
      </c>
      <c r="L446" s="9" t="s">
        <v>2647</v>
      </c>
      <c r="M446" s="9" t="s">
        <v>2648</v>
      </c>
      <c r="N446" s="11"/>
    </row>
    <row r="447" ht="15.75" customHeight="1">
      <c r="A447" s="5" t="s">
        <v>15</v>
      </c>
      <c r="B447" s="6" t="str">
        <f t="array" ref="B447">XLOOKUP(C447,city_to_region!$B$5:$B$96,city_to_region!$A$5:$A$96)</f>
        <v>г. Шымкент</v>
      </c>
      <c r="C447" s="6" t="s">
        <v>2594</v>
      </c>
      <c r="D447" s="6" t="s">
        <v>2649</v>
      </c>
      <c r="E447" s="12">
        <v>45501.0</v>
      </c>
      <c r="F447" s="6" t="s">
        <v>2650</v>
      </c>
      <c r="G447" s="6" t="s">
        <v>2611</v>
      </c>
      <c r="H447" s="9" t="s">
        <v>2651</v>
      </c>
      <c r="I447" s="9">
        <v>14.8</v>
      </c>
      <c r="J447" s="10">
        <v>140.0</v>
      </c>
      <c r="K447" s="9" t="s">
        <v>2652</v>
      </c>
      <c r="L447" s="9" t="s">
        <v>2653</v>
      </c>
      <c r="M447" s="9" t="s">
        <v>2654</v>
      </c>
      <c r="N447" s="11"/>
    </row>
    <row r="448" ht="15.75" customHeight="1">
      <c r="A448" s="5" t="s">
        <v>15</v>
      </c>
      <c r="B448" s="6" t="str">
        <f t="array" ref="B448">XLOOKUP(C448,city_to_region!$B$5:$B$96,city_to_region!$A$5:$A$96)</f>
        <v>г. Шымкент</v>
      </c>
      <c r="C448" s="6" t="s">
        <v>2594</v>
      </c>
      <c r="D448" s="6" t="s">
        <v>2655</v>
      </c>
      <c r="E448" s="12">
        <v>45501.0</v>
      </c>
      <c r="F448" s="6" t="s">
        <v>2656</v>
      </c>
      <c r="G448" s="6" t="s">
        <v>2611</v>
      </c>
      <c r="H448" s="9" t="s">
        <v>2657</v>
      </c>
      <c r="I448" s="9">
        <v>13.9</v>
      </c>
      <c r="J448" s="10">
        <v>140.0</v>
      </c>
      <c r="K448" s="9" t="s">
        <v>2658</v>
      </c>
      <c r="L448" s="9" t="s">
        <v>2659</v>
      </c>
      <c r="M448" s="9" t="s">
        <v>2660</v>
      </c>
      <c r="N448" s="11"/>
    </row>
    <row r="449" ht="15.75" customHeight="1">
      <c r="A449" s="6" t="s">
        <v>2661</v>
      </c>
      <c r="B449" s="6" t="str">
        <f t="array" ref="B449">XLOOKUP(C449,city_to_region!$B$5:$B$96,city_to_region!$A$5:$A$96)</f>
        <v>Атырауская</v>
      </c>
      <c r="C449" s="6" t="s">
        <v>37</v>
      </c>
      <c r="D449" s="6" t="s">
        <v>2662</v>
      </c>
      <c r="E449" s="12">
        <v>45483.0</v>
      </c>
      <c r="F449" s="6" t="s">
        <v>2663</v>
      </c>
      <c r="G449" s="6" t="s">
        <v>2664</v>
      </c>
      <c r="H449" s="13">
        <v>0.4794</v>
      </c>
      <c r="I449" s="9">
        <v>59.9</v>
      </c>
      <c r="J449" s="10">
        <v>175.0</v>
      </c>
      <c r="K449" s="9" t="s">
        <v>2665</v>
      </c>
      <c r="L449" s="18"/>
      <c r="M449" s="14">
        <v>507.8</v>
      </c>
      <c r="N449" s="11"/>
    </row>
    <row r="450" ht="15.75" customHeight="1">
      <c r="A450" s="6" t="s">
        <v>2661</v>
      </c>
      <c r="B450" s="6" t="str">
        <f t="array" ref="B450">XLOOKUP(C450,city_to_region!$B$5:$B$96,city_to_region!$A$5:$A$96)</f>
        <v>Атырауская</v>
      </c>
      <c r="C450" s="6" t="s">
        <v>37</v>
      </c>
      <c r="D450" s="6" t="s">
        <v>2666</v>
      </c>
      <c r="E450" s="12">
        <v>45483.0</v>
      </c>
      <c r="F450" s="6" t="s">
        <v>2667</v>
      </c>
      <c r="G450" s="6" t="s">
        <v>2668</v>
      </c>
      <c r="H450" s="13">
        <v>0.6974</v>
      </c>
      <c r="I450" s="9">
        <v>87.1</v>
      </c>
      <c r="J450" s="10">
        <v>126.0</v>
      </c>
      <c r="K450" s="9" t="s">
        <v>2669</v>
      </c>
      <c r="L450" s="18"/>
      <c r="M450" s="14">
        <v>507.8</v>
      </c>
      <c r="N450" s="11"/>
    </row>
    <row r="451" ht="15.75" customHeight="1">
      <c r="A451" s="6" t="s">
        <v>2661</v>
      </c>
      <c r="B451" s="6" t="str">
        <f t="array" ref="B451">XLOOKUP(C451,city_to_region!$B$5:$B$96,city_to_region!$A$5:$A$96)</f>
        <v>Атырауская</v>
      </c>
      <c r="C451" s="6" t="s">
        <v>37</v>
      </c>
      <c r="D451" s="6" t="s">
        <v>2670</v>
      </c>
      <c r="E451" s="12">
        <v>45483.0</v>
      </c>
      <c r="F451" s="6" t="s">
        <v>2671</v>
      </c>
      <c r="G451" s="6" t="s">
        <v>2672</v>
      </c>
      <c r="H451" s="13">
        <v>0.4951</v>
      </c>
      <c r="I451" s="9">
        <v>61.8</v>
      </c>
      <c r="J451" s="18"/>
      <c r="K451" s="18"/>
      <c r="L451" s="18"/>
      <c r="M451" s="18"/>
      <c r="N451" s="11"/>
    </row>
    <row r="452" ht="15.75" customHeight="1">
      <c r="A452" s="6" t="s">
        <v>2661</v>
      </c>
      <c r="B452" s="6" t="str">
        <f t="array" ref="B452">XLOOKUP(C452,city_to_region!$B$5:$B$96,city_to_region!$A$5:$A$96)</f>
        <v>Атырауская</v>
      </c>
      <c r="C452" s="6" t="s">
        <v>37</v>
      </c>
      <c r="D452" s="6" t="s">
        <v>2673</v>
      </c>
      <c r="E452" s="12">
        <v>45485.0</v>
      </c>
      <c r="F452" s="6" t="s">
        <v>2674</v>
      </c>
      <c r="G452" s="6" t="s">
        <v>2675</v>
      </c>
      <c r="H452" s="13">
        <v>0.5159</v>
      </c>
      <c r="I452" s="9">
        <v>64.4</v>
      </c>
      <c r="J452" s="10">
        <v>141.0</v>
      </c>
      <c r="K452" s="9" t="s">
        <v>2676</v>
      </c>
      <c r="L452" s="18"/>
      <c r="M452" s="18"/>
      <c r="N452" s="11"/>
    </row>
    <row r="453" ht="15.75" customHeight="1">
      <c r="A453" s="6" t="s">
        <v>2661</v>
      </c>
      <c r="B453" s="6" t="str">
        <f t="array" ref="B453">XLOOKUP(C453,city_to_region!$B$5:$B$96,city_to_region!$A$5:$A$96)</f>
        <v>Атырауская</v>
      </c>
      <c r="C453" s="6" t="s">
        <v>37</v>
      </c>
      <c r="D453" s="6" t="s">
        <v>2677</v>
      </c>
      <c r="E453" s="12">
        <v>45485.0</v>
      </c>
      <c r="F453" s="6" t="s">
        <v>2678</v>
      </c>
      <c r="G453" s="6" t="s">
        <v>2679</v>
      </c>
      <c r="H453" s="13">
        <v>0.4489</v>
      </c>
      <c r="I453" s="9">
        <v>56.1</v>
      </c>
      <c r="J453" s="10">
        <v>141.0</v>
      </c>
      <c r="K453" s="9" t="s">
        <v>2680</v>
      </c>
      <c r="L453" s="18"/>
      <c r="M453" s="18"/>
      <c r="N453" s="11"/>
    </row>
    <row r="454" ht="15.75" customHeight="1">
      <c r="A454" s="6" t="s">
        <v>2661</v>
      </c>
      <c r="B454" s="6" t="str">
        <f t="array" ref="B454">XLOOKUP(C454,city_to_region!$B$5:$B$96,city_to_region!$A$5:$A$96)</f>
        <v>Атырауская</v>
      </c>
      <c r="C454" s="6" t="s">
        <v>37</v>
      </c>
      <c r="D454" s="6" t="s">
        <v>2681</v>
      </c>
      <c r="E454" s="12">
        <v>45485.0</v>
      </c>
      <c r="F454" s="6" t="s">
        <v>2682</v>
      </c>
      <c r="G454" s="6" t="s">
        <v>2683</v>
      </c>
      <c r="H454" s="13">
        <v>0.2109</v>
      </c>
      <c r="I454" s="9">
        <v>26.3</v>
      </c>
      <c r="J454" s="18"/>
      <c r="K454" s="18"/>
      <c r="L454" s="18"/>
      <c r="M454" s="18"/>
      <c r="N454" s="11"/>
    </row>
    <row r="455" ht="15.75" customHeight="1">
      <c r="A455" s="6" t="s">
        <v>2661</v>
      </c>
      <c r="B455" s="6" t="str">
        <f t="array" ref="B455">XLOOKUP(C455,city_to_region!$B$5:$B$96,city_to_region!$A$5:$A$96)</f>
        <v>Атырауская</v>
      </c>
      <c r="C455" s="6" t="s">
        <v>37</v>
      </c>
      <c r="D455" s="6" t="s">
        <v>2684</v>
      </c>
      <c r="E455" s="12">
        <v>45486.0</v>
      </c>
      <c r="F455" s="6" t="s">
        <v>2685</v>
      </c>
      <c r="G455" s="6" t="s">
        <v>2686</v>
      </c>
      <c r="H455" s="13">
        <v>0.2105</v>
      </c>
      <c r="I455" s="9">
        <v>26.3</v>
      </c>
      <c r="J455" s="18"/>
      <c r="K455" s="18"/>
      <c r="L455" s="18"/>
      <c r="M455" s="18"/>
      <c r="N455" s="11"/>
    </row>
    <row r="456" ht="15.75" customHeight="1">
      <c r="A456" s="6" t="s">
        <v>2661</v>
      </c>
      <c r="B456" s="6" t="str">
        <f t="array" ref="B456">XLOOKUP(C456,city_to_region!$B$5:$B$96,city_to_region!$A$5:$A$96)</f>
        <v>Атырауская</v>
      </c>
      <c r="C456" s="6" t="s">
        <v>37</v>
      </c>
      <c r="D456" s="6" t="s">
        <v>2687</v>
      </c>
      <c r="E456" s="12">
        <v>45487.0</v>
      </c>
      <c r="F456" s="6" t="s">
        <v>2688</v>
      </c>
      <c r="G456" s="6" t="s">
        <v>2689</v>
      </c>
      <c r="H456" s="13">
        <v>0.178</v>
      </c>
      <c r="I456" s="9">
        <v>22.2</v>
      </c>
      <c r="J456" s="18"/>
      <c r="K456" s="18"/>
      <c r="L456" s="18"/>
      <c r="M456" s="18"/>
      <c r="N456" s="11"/>
    </row>
    <row r="457" ht="15.75" customHeight="1">
      <c r="A457" s="6" t="s">
        <v>2661</v>
      </c>
      <c r="B457" s="6" t="str">
        <f t="array" ref="B457">XLOOKUP(C457,city_to_region!$B$5:$B$96,city_to_region!$A$5:$A$96)</f>
        <v>Атырауская</v>
      </c>
      <c r="C457" s="6" t="s">
        <v>37</v>
      </c>
      <c r="D457" s="6" t="s">
        <v>2690</v>
      </c>
      <c r="E457" s="12">
        <v>45488.0</v>
      </c>
      <c r="F457" s="6" t="s">
        <v>2691</v>
      </c>
      <c r="G457" s="6" t="s">
        <v>2692</v>
      </c>
      <c r="H457" s="13">
        <v>0.2687</v>
      </c>
      <c r="I457" s="9">
        <v>33.5</v>
      </c>
      <c r="J457" s="18"/>
      <c r="K457" s="18"/>
      <c r="L457" s="18"/>
      <c r="M457" s="18"/>
      <c r="N457" s="11"/>
    </row>
    <row r="458" ht="15.75" customHeight="1">
      <c r="A458" s="6" t="s">
        <v>2661</v>
      </c>
      <c r="B458" s="6" t="str">
        <f t="array" ref="B458">XLOOKUP(C458,city_to_region!$B$5:$B$96,city_to_region!$A$5:$A$96)</f>
        <v>Атырауская</v>
      </c>
      <c r="C458" s="6" t="s">
        <v>37</v>
      </c>
      <c r="D458" s="6" t="s">
        <v>2693</v>
      </c>
      <c r="E458" s="12">
        <v>45489.0</v>
      </c>
      <c r="F458" s="6" t="s">
        <v>2694</v>
      </c>
      <c r="G458" s="6" t="s">
        <v>2695</v>
      </c>
      <c r="H458" s="13">
        <v>0.387</v>
      </c>
      <c r="I458" s="9">
        <v>48.3</v>
      </c>
      <c r="J458" s="18"/>
      <c r="K458" s="18"/>
      <c r="L458" s="18"/>
      <c r="M458" s="18"/>
      <c r="N458" s="11"/>
    </row>
    <row r="459" ht="15.75" customHeight="1">
      <c r="A459" s="6" t="s">
        <v>2661</v>
      </c>
      <c r="B459" s="6" t="str">
        <f t="array" ref="B459">XLOOKUP(C459,city_to_region!$B$5:$B$96,city_to_region!$A$5:$A$96)</f>
        <v>Атырауская</v>
      </c>
      <c r="C459" s="6" t="s">
        <v>37</v>
      </c>
      <c r="D459" s="6" t="s">
        <v>2696</v>
      </c>
      <c r="E459" s="12">
        <v>45490.0</v>
      </c>
      <c r="F459" s="6" t="s">
        <v>2697</v>
      </c>
      <c r="G459" s="6" t="s">
        <v>2698</v>
      </c>
      <c r="H459" s="13">
        <v>0.302</v>
      </c>
      <c r="I459" s="9">
        <v>37.7</v>
      </c>
      <c r="J459" s="18"/>
      <c r="K459" s="18"/>
      <c r="L459" s="18"/>
      <c r="M459" s="18"/>
      <c r="N459" s="11"/>
    </row>
    <row r="460" ht="15.75" customHeight="1">
      <c r="A460" s="6" t="s">
        <v>2661</v>
      </c>
      <c r="B460" s="6" t="str">
        <f t="array" ref="B460">XLOOKUP(C460,city_to_region!$B$5:$B$96,city_to_region!$A$5:$A$96)</f>
        <v>Атырауская</v>
      </c>
      <c r="C460" s="6" t="s">
        <v>37</v>
      </c>
      <c r="D460" s="6" t="s">
        <v>2699</v>
      </c>
      <c r="E460" s="12">
        <v>45491.0</v>
      </c>
      <c r="F460" s="6" t="s">
        <v>2700</v>
      </c>
      <c r="G460" s="6" t="s">
        <v>2701</v>
      </c>
      <c r="H460" s="13">
        <v>0.282</v>
      </c>
      <c r="I460" s="9">
        <v>35.2</v>
      </c>
      <c r="J460" s="18"/>
      <c r="K460" s="18"/>
      <c r="L460" s="18"/>
      <c r="M460" s="18"/>
      <c r="N460" s="11"/>
    </row>
    <row r="461" ht="15.75" customHeight="1">
      <c r="A461" s="6" t="s">
        <v>2661</v>
      </c>
      <c r="B461" s="6" t="str">
        <f t="array" ref="B461">XLOOKUP(C461,city_to_region!$B$5:$B$96,city_to_region!$A$5:$A$96)</f>
        <v>Атырауская</v>
      </c>
      <c r="C461" s="6" t="s">
        <v>37</v>
      </c>
      <c r="D461" s="6" t="s">
        <v>2702</v>
      </c>
      <c r="E461" s="12">
        <v>45492.0</v>
      </c>
      <c r="F461" s="6" t="s">
        <v>2703</v>
      </c>
      <c r="G461" s="6" t="s">
        <v>2704</v>
      </c>
      <c r="H461" s="13">
        <v>0.2871</v>
      </c>
      <c r="I461" s="9">
        <v>35.8</v>
      </c>
      <c r="J461" s="18"/>
      <c r="K461" s="18"/>
      <c r="L461" s="18"/>
      <c r="M461" s="18"/>
      <c r="N461" s="11"/>
    </row>
    <row r="462" ht="15.75" customHeight="1">
      <c r="A462" s="6" t="s">
        <v>2661</v>
      </c>
      <c r="B462" s="6" t="str">
        <f t="array" ref="B462">XLOOKUP(C462,city_to_region!$B$5:$B$96,city_to_region!$A$5:$A$96)</f>
        <v>Атырауская</v>
      </c>
      <c r="C462" s="6" t="s">
        <v>37</v>
      </c>
      <c r="D462" s="6" t="s">
        <v>2705</v>
      </c>
      <c r="E462" s="12">
        <v>45493.0</v>
      </c>
      <c r="F462" s="6" t="s">
        <v>2706</v>
      </c>
      <c r="G462" s="6" t="s">
        <v>2707</v>
      </c>
      <c r="H462" s="13">
        <v>0.2664</v>
      </c>
      <c r="I462" s="9">
        <v>33.3</v>
      </c>
      <c r="J462" s="18"/>
      <c r="K462" s="18"/>
      <c r="L462" s="18"/>
      <c r="M462" s="18"/>
      <c r="N462" s="11"/>
    </row>
    <row r="463" ht="15.75" customHeight="1">
      <c r="A463" s="6" t="s">
        <v>2661</v>
      </c>
      <c r="B463" s="6" t="str">
        <f t="array" ref="B463">XLOOKUP(C463,city_to_region!$B$5:$B$96,city_to_region!$A$5:$A$96)</f>
        <v>Атырауская</v>
      </c>
      <c r="C463" s="6" t="s">
        <v>37</v>
      </c>
      <c r="D463" s="6" t="s">
        <v>2708</v>
      </c>
      <c r="E463" s="12">
        <v>45494.0</v>
      </c>
      <c r="F463" s="6" t="s">
        <v>2709</v>
      </c>
      <c r="G463" s="6" t="s">
        <v>2710</v>
      </c>
      <c r="H463" s="13">
        <v>0.2406</v>
      </c>
      <c r="I463" s="9">
        <v>30.0</v>
      </c>
      <c r="J463" s="18"/>
      <c r="K463" s="18"/>
      <c r="L463" s="18"/>
      <c r="M463" s="18"/>
      <c r="N463" s="11"/>
    </row>
    <row r="464" ht="15.75" customHeight="1">
      <c r="A464" s="6" t="s">
        <v>2661</v>
      </c>
      <c r="B464" s="6" t="str">
        <f t="array" ref="B464">XLOOKUP(C464,city_to_region!$B$5:$B$96,city_to_region!$A$5:$A$96)</f>
        <v>г. Шымкент</v>
      </c>
      <c r="C464" s="6" t="s">
        <v>2594</v>
      </c>
      <c r="D464" s="6" t="s">
        <v>2711</v>
      </c>
      <c r="E464" s="12">
        <v>45501.0</v>
      </c>
      <c r="F464" s="6" t="s">
        <v>2712</v>
      </c>
      <c r="G464" s="6" t="s">
        <v>2713</v>
      </c>
      <c r="H464" s="9" t="s">
        <v>2714</v>
      </c>
      <c r="I464" s="9">
        <v>53.6</v>
      </c>
      <c r="J464" s="10">
        <v>150.0</v>
      </c>
      <c r="K464" s="9" t="s">
        <v>2715</v>
      </c>
      <c r="L464" s="9" t="s">
        <v>2716</v>
      </c>
      <c r="M464" s="9" t="s">
        <v>2717</v>
      </c>
      <c r="N464" s="11"/>
    </row>
    <row r="465" ht="15.75" customHeight="1">
      <c r="A465" s="6" t="s">
        <v>2661</v>
      </c>
      <c r="B465" s="6" t="str">
        <f t="array" ref="B465">XLOOKUP(C465,city_to_region!$B$5:$B$96,city_to_region!$A$5:$A$96)</f>
        <v>г. Шымкент</v>
      </c>
      <c r="C465" s="6" t="s">
        <v>2594</v>
      </c>
      <c r="D465" s="6" t="s">
        <v>2718</v>
      </c>
      <c r="E465" s="12">
        <v>45501.0</v>
      </c>
      <c r="F465" s="6" t="s">
        <v>2719</v>
      </c>
      <c r="G465" s="6" t="s">
        <v>2720</v>
      </c>
      <c r="H465" s="9" t="s">
        <v>2721</v>
      </c>
      <c r="I465" s="9">
        <v>135.0</v>
      </c>
      <c r="J465" s="10">
        <v>150.0</v>
      </c>
      <c r="K465" s="9" t="s">
        <v>2722</v>
      </c>
      <c r="L465" s="9" t="s">
        <v>2723</v>
      </c>
      <c r="M465" s="9" t="s">
        <v>2724</v>
      </c>
      <c r="N465" s="11"/>
    </row>
    <row r="466" ht="15.75" customHeight="1">
      <c r="A466" s="6" t="s">
        <v>2661</v>
      </c>
      <c r="B466" s="6" t="str">
        <f t="array" ref="B466">XLOOKUP(C466,city_to_region!$B$5:$B$96,city_to_region!$A$5:$A$96)</f>
        <v>г. Шымкент</v>
      </c>
      <c r="C466" s="6" t="s">
        <v>2594</v>
      </c>
      <c r="D466" s="6" t="s">
        <v>2725</v>
      </c>
      <c r="E466" s="12">
        <v>45501.0</v>
      </c>
      <c r="F466" s="6" t="s">
        <v>2726</v>
      </c>
      <c r="G466" s="6" t="s">
        <v>2611</v>
      </c>
      <c r="H466" s="9" t="s">
        <v>2727</v>
      </c>
      <c r="I466" s="9">
        <v>135.3</v>
      </c>
      <c r="J466" s="10">
        <v>150.0</v>
      </c>
      <c r="K466" s="9" t="s">
        <v>2728</v>
      </c>
      <c r="L466" s="9" t="s">
        <v>2729</v>
      </c>
      <c r="M466" s="9" t="s">
        <v>2730</v>
      </c>
      <c r="N466" s="11"/>
    </row>
    <row r="467" ht="15.75" customHeight="1">
      <c r="A467" s="6" t="s">
        <v>2661</v>
      </c>
      <c r="B467" s="6" t="str">
        <f t="array" ref="B467">XLOOKUP(C467,city_to_region!$B$5:$B$96,city_to_region!$A$5:$A$96)</f>
        <v>г. Шымкент</v>
      </c>
      <c r="C467" s="6" t="s">
        <v>2594</v>
      </c>
      <c r="D467" s="6" t="s">
        <v>2731</v>
      </c>
      <c r="E467" s="12">
        <v>45501.0</v>
      </c>
      <c r="F467" s="6" t="s">
        <v>2732</v>
      </c>
      <c r="G467" s="6" t="s">
        <v>2611</v>
      </c>
      <c r="H467" s="9" t="s">
        <v>2733</v>
      </c>
      <c r="I467" s="9">
        <v>127.7</v>
      </c>
      <c r="J467" s="10">
        <v>150.0</v>
      </c>
      <c r="K467" s="9" t="s">
        <v>2728</v>
      </c>
      <c r="L467" s="9" t="s">
        <v>2729</v>
      </c>
      <c r="M467" s="9" t="s">
        <v>2730</v>
      </c>
      <c r="N467" s="11"/>
    </row>
    <row r="468" ht="15.75" customHeight="1">
      <c r="A468" s="6" t="s">
        <v>2661</v>
      </c>
      <c r="B468" s="6" t="str">
        <f t="array" ref="B468">XLOOKUP(C468,city_to_region!$B$5:$B$96,city_to_region!$A$5:$A$96)</f>
        <v>г. Шымкент</v>
      </c>
      <c r="C468" s="6" t="s">
        <v>2594</v>
      </c>
      <c r="D468" s="6" t="s">
        <v>2734</v>
      </c>
      <c r="E468" s="12">
        <v>45501.0</v>
      </c>
      <c r="F468" s="6" t="s">
        <v>2735</v>
      </c>
      <c r="G468" s="6" t="s">
        <v>2611</v>
      </c>
      <c r="H468" s="9" t="s">
        <v>2736</v>
      </c>
      <c r="I468" s="9">
        <v>159.4</v>
      </c>
      <c r="J468" s="10">
        <v>140.0</v>
      </c>
      <c r="K468" s="9" t="s">
        <v>2737</v>
      </c>
      <c r="L468" s="9" t="s">
        <v>2738</v>
      </c>
      <c r="M468" s="9" t="s">
        <v>2739</v>
      </c>
      <c r="N468" s="11"/>
    </row>
    <row r="469" ht="15.75" customHeight="1">
      <c r="A469" s="6" t="s">
        <v>2661</v>
      </c>
      <c r="B469" s="6" t="str">
        <f t="array" ref="B469">XLOOKUP(C469,city_to_region!$B$5:$B$96,city_to_region!$A$5:$A$96)</f>
        <v>г. Шымкент</v>
      </c>
      <c r="C469" s="6" t="s">
        <v>2594</v>
      </c>
      <c r="D469" s="6" t="s">
        <v>2740</v>
      </c>
      <c r="E469" s="12">
        <v>45501.0</v>
      </c>
      <c r="F469" s="6" t="s">
        <v>2741</v>
      </c>
      <c r="G469" s="6" t="s">
        <v>2611</v>
      </c>
      <c r="H469" s="9" t="s">
        <v>2742</v>
      </c>
      <c r="I469" s="9">
        <v>185.8</v>
      </c>
      <c r="J469" s="10">
        <v>140.0</v>
      </c>
      <c r="K469" s="9" t="s">
        <v>2743</v>
      </c>
      <c r="L469" s="9" t="s">
        <v>2744</v>
      </c>
      <c r="M469" s="9" t="s">
        <v>2745</v>
      </c>
      <c r="N469" s="11"/>
    </row>
    <row r="470" ht="15.75" customHeight="1">
      <c r="A470" s="6" t="s">
        <v>2661</v>
      </c>
      <c r="B470" s="6" t="str">
        <f t="array" ref="B470">XLOOKUP(C470,city_to_region!$B$5:$B$96,city_to_region!$A$5:$A$96)</f>
        <v>г. Шымкент</v>
      </c>
      <c r="C470" s="6" t="s">
        <v>2594</v>
      </c>
      <c r="D470" s="6" t="s">
        <v>2746</v>
      </c>
      <c r="E470" s="12">
        <v>45501.0</v>
      </c>
      <c r="F470" s="6" t="s">
        <v>2747</v>
      </c>
      <c r="G470" s="6" t="s">
        <v>2611</v>
      </c>
      <c r="H470" s="9" t="s">
        <v>2748</v>
      </c>
      <c r="I470" s="9">
        <v>142.1</v>
      </c>
      <c r="J470" s="10">
        <v>140.0</v>
      </c>
      <c r="K470" s="9" t="s">
        <v>2749</v>
      </c>
      <c r="L470" s="9" t="s">
        <v>2750</v>
      </c>
      <c r="M470" s="9" t="s">
        <v>2751</v>
      </c>
      <c r="N470" s="11"/>
    </row>
    <row r="471" ht="15.75" customHeight="1">
      <c r="A471" s="6" t="s">
        <v>2661</v>
      </c>
      <c r="B471" s="6" t="str">
        <f t="array" ref="B471">XLOOKUP(C471,city_to_region!$B$5:$B$96,city_to_region!$A$5:$A$96)</f>
        <v>г. Шымкент</v>
      </c>
      <c r="C471" s="6" t="s">
        <v>2594</v>
      </c>
      <c r="D471" s="6" t="s">
        <v>2752</v>
      </c>
      <c r="E471" s="12">
        <v>45501.0</v>
      </c>
      <c r="F471" s="6" t="s">
        <v>2753</v>
      </c>
      <c r="G471" s="6" t="s">
        <v>2611</v>
      </c>
      <c r="H471" s="9" t="s">
        <v>2754</v>
      </c>
      <c r="I471" s="9">
        <v>117.6</v>
      </c>
      <c r="J471" s="10">
        <v>140.0</v>
      </c>
      <c r="K471" s="9" t="s">
        <v>2749</v>
      </c>
      <c r="L471" s="9" t="s">
        <v>2750</v>
      </c>
      <c r="M471" s="9" t="s">
        <v>2751</v>
      </c>
      <c r="N471" s="11"/>
    </row>
    <row r="472" ht="15.75" customHeight="1">
      <c r="A472" s="6" t="s">
        <v>2661</v>
      </c>
      <c r="B472" s="6" t="str">
        <f t="array" ref="B472">XLOOKUP(C472,city_to_region!$B$5:$B$96,city_to_region!$A$5:$A$96)</f>
        <v>г. Шымкент</v>
      </c>
      <c r="C472" s="6" t="s">
        <v>2594</v>
      </c>
      <c r="D472" s="6" t="s">
        <v>2755</v>
      </c>
      <c r="E472" s="12">
        <v>45501.0</v>
      </c>
      <c r="F472" s="6" t="s">
        <v>2756</v>
      </c>
      <c r="G472" s="6" t="s">
        <v>2611</v>
      </c>
      <c r="H472" s="9" t="s">
        <v>2757</v>
      </c>
      <c r="I472" s="9">
        <v>89.7</v>
      </c>
      <c r="J472" s="10">
        <v>140.0</v>
      </c>
      <c r="K472" s="9" t="s">
        <v>2749</v>
      </c>
      <c r="L472" s="9" t="s">
        <v>2750</v>
      </c>
      <c r="M472" s="9" t="s">
        <v>2751</v>
      </c>
      <c r="N472" s="11"/>
    </row>
    <row r="473" ht="15.75" customHeight="1">
      <c r="A473" s="6" t="s">
        <v>2661</v>
      </c>
      <c r="B473" s="6" t="str">
        <f t="array" ref="B473">XLOOKUP(C473,city_to_region!$B$5:$B$96,city_to_region!$A$5:$A$96)</f>
        <v>г. Шымкент</v>
      </c>
      <c r="C473" s="6" t="s">
        <v>2594</v>
      </c>
      <c r="D473" s="6" t="s">
        <v>2758</v>
      </c>
      <c r="E473" s="12">
        <v>45501.0</v>
      </c>
      <c r="F473" s="6" t="s">
        <v>2759</v>
      </c>
      <c r="G473" s="6" t="s">
        <v>2611</v>
      </c>
      <c r="H473" s="9" t="s">
        <v>2760</v>
      </c>
      <c r="I473" s="9">
        <v>93.8</v>
      </c>
      <c r="J473" s="10">
        <v>140.0</v>
      </c>
      <c r="K473" s="9" t="s">
        <v>2749</v>
      </c>
      <c r="L473" s="9" t="s">
        <v>2750</v>
      </c>
      <c r="M473" s="9" t="s">
        <v>2751</v>
      </c>
      <c r="N473" s="11"/>
    </row>
    <row r="474" ht="15.75" customHeight="1">
      <c r="A474" s="6" t="s">
        <v>2661</v>
      </c>
      <c r="B474" s="6" t="str">
        <f t="array" ref="B474">XLOOKUP(C474,city_to_region!$B$5:$B$96,city_to_region!$A$5:$A$96)</f>
        <v>г. Шымкент</v>
      </c>
      <c r="C474" s="6" t="s">
        <v>2594</v>
      </c>
      <c r="D474" s="6" t="s">
        <v>2761</v>
      </c>
      <c r="E474" s="12">
        <v>45501.0</v>
      </c>
      <c r="F474" s="6" t="s">
        <v>2762</v>
      </c>
      <c r="G474" s="6" t="s">
        <v>2611</v>
      </c>
      <c r="H474" s="9" t="s">
        <v>2763</v>
      </c>
      <c r="I474" s="9">
        <v>74.1</v>
      </c>
      <c r="J474" s="10">
        <v>140.0</v>
      </c>
      <c r="K474" s="9" t="s">
        <v>2749</v>
      </c>
      <c r="L474" s="9" t="s">
        <v>2750</v>
      </c>
      <c r="M474" s="9" t="s">
        <v>2751</v>
      </c>
      <c r="N474" s="11"/>
    </row>
    <row r="475" ht="15.75" customHeight="1">
      <c r="H475" s="20"/>
      <c r="I475" s="20"/>
      <c r="J475" s="20"/>
      <c r="K475" s="20"/>
      <c r="L475" s="20"/>
      <c r="M475" s="20"/>
    </row>
    <row r="476" ht="15.75" customHeight="1">
      <c r="H476" s="20"/>
      <c r="I476" s="20"/>
      <c r="J476" s="20"/>
      <c r="K476" s="20"/>
      <c r="L476" s="20"/>
      <c r="M476" s="20"/>
    </row>
    <row r="477" ht="15.75" customHeight="1">
      <c r="H477" s="20"/>
      <c r="I477" s="20"/>
      <c r="J477" s="20"/>
      <c r="K477" s="20"/>
      <c r="L477" s="20"/>
      <c r="M477" s="20"/>
    </row>
    <row r="478" ht="15.75" customHeight="1">
      <c r="H478" s="20"/>
      <c r="I478" s="20"/>
      <c r="J478" s="20"/>
      <c r="K478" s="20"/>
      <c r="L478" s="20"/>
      <c r="M478" s="20"/>
    </row>
    <row r="479" ht="15.75" customHeight="1">
      <c r="H479" s="20"/>
      <c r="I479" s="20"/>
      <c r="J479" s="20"/>
      <c r="K479" s="20"/>
      <c r="L479" s="20"/>
      <c r="M479" s="20"/>
    </row>
    <row r="480" ht="15.75" customHeight="1">
      <c r="H480" s="20"/>
      <c r="I480" s="20"/>
      <c r="J480" s="20"/>
      <c r="K480" s="20"/>
      <c r="L480" s="20"/>
      <c r="M480" s="20"/>
    </row>
    <row r="481" ht="15.75" customHeight="1">
      <c r="H481" s="20"/>
      <c r="I481" s="20"/>
      <c r="J481" s="20"/>
      <c r="K481" s="20"/>
      <c r="L481" s="20"/>
      <c r="M481" s="20"/>
    </row>
    <row r="482" ht="15.75" customHeight="1">
      <c r="H482" s="20"/>
      <c r="I482" s="20"/>
      <c r="J482" s="20"/>
      <c r="K482" s="20"/>
      <c r="L482" s="20"/>
      <c r="M482" s="20"/>
    </row>
    <row r="483" ht="15.75" customHeight="1">
      <c r="H483" s="20"/>
      <c r="I483" s="20"/>
      <c r="J483" s="20"/>
      <c r="K483" s="20"/>
      <c r="L483" s="20"/>
      <c r="M483" s="20"/>
    </row>
    <row r="484" ht="15.75" customHeight="1">
      <c r="H484" s="20"/>
      <c r="I484" s="20"/>
      <c r="J484" s="20"/>
      <c r="K484" s="20"/>
      <c r="L484" s="20"/>
      <c r="M484" s="20"/>
    </row>
    <row r="485" ht="15.75" customHeight="1">
      <c r="H485" s="20"/>
      <c r="I485" s="20"/>
      <c r="J485" s="20"/>
      <c r="K485" s="20"/>
      <c r="L485" s="20"/>
      <c r="M485" s="20"/>
    </row>
    <row r="486" ht="15.75" customHeight="1">
      <c r="H486" s="20"/>
      <c r="I486" s="20"/>
      <c r="J486" s="20"/>
      <c r="K486" s="20"/>
      <c r="L486" s="20"/>
      <c r="M486" s="20"/>
    </row>
    <row r="487" ht="15.75" customHeight="1">
      <c r="H487" s="20"/>
      <c r="I487" s="20"/>
      <c r="J487" s="20"/>
      <c r="K487" s="20"/>
      <c r="L487" s="20"/>
      <c r="M487" s="20"/>
    </row>
    <row r="488" ht="15.75" customHeight="1">
      <c r="H488" s="20"/>
      <c r="I488" s="20"/>
      <c r="J488" s="20"/>
      <c r="K488" s="20"/>
      <c r="L488" s="20"/>
      <c r="M488" s="20"/>
    </row>
    <row r="489" ht="15.75" customHeight="1">
      <c r="H489" s="20"/>
      <c r="I489" s="20"/>
      <c r="J489" s="20"/>
      <c r="K489" s="20"/>
      <c r="L489" s="20"/>
      <c r="M489" s="20"/>
    </row>
    <row r="490" ht="15.75" customHeight="1">
      <c r="H490" s="20"/>
      <c r="I490" s="20"/>
      <c r="J490" s="20"/>
      <c r="K490" s="20"/>
      <c r="L490" s="20"/>
      <c r="M490" s="20"/>
    </row>
    <row r="491" ht="15.75" customHeight="1">
      <c r="H491" s="20"/>
      <c r="I491" s="20"/>
      <c r="J491" s="20"/>
      <c r="K491" s="20"/>
      <c r="L491" s="20"/>
      <c r="M491" s="20"/>
    </row>
    <row r="492" ht="15.75" customHeight="1">
      <c r="H492" s="20"/>
      <c r="I492" s="20"/>
      <c r="J492" s="20"/>
      <c r="K492" s="20"/>
      <c r="L492" s="20"/>
      <c r="M492" s="20"/>
    </row>
    <row r="493" ht="15.75" customHeight="1">
      <c r="H493" s="20"/>
      <c r="I493" s="20"/>
      <c r="J493" s="20"/>
      <c r="K493" s="20"/>
      <c r="L493" s="20"/>
      <c r="M493" s="20"/>
    </row>
    <row r="494" ht="15.75" customHeight="1">
      <c r="H494" s="20"/>
      <c r="I494" s="20"/>
      <c r="J494" s="20"/>
      <c r="K494" s="20"/>
      <c r="L494" s="20"/>
      <c r="M494" s="20"/>
    </row>
    <row r="495" ht="15.75" customHeight="1">
      <c r="H495" s="20"/>
      <c r="I495" s="20"/>
      <c r="J495" s="20"/>
      <c r="K495" s="20"/>
      <c r="L495" s="20"/>
      <c r="M495" s="20"/>
    </row>
    <row r="496" ht="15.75" customHeight="1">
      <c r="H496" s="20"/>
      <c r="I496" s="20"/>
      <c r="J496" s="20"/>
      <c r="K496" s="20"/>
      <c r="L496" s="20"/>
      <c r="M496" s="20"/>
    </row>
    <row r="497" ht="15.75" customHeight="1">
      <c r="H497" s="20"/>
      <c r="I497" s="20"/>
      <c r="J497" s="20"/>
      <c r="K497" s="20"/>
      <c r="L497" s="20"/>
      <c r="M497" s="20"/>
    </row>
    <row r="498" ht="15.75" customHeight="1">
      <c r="H498" s="20"/>
      <c r="I498" s="20"/>
      <c r="J498" s="20"/>
      <c r="K498" s="20"/>
      <c r="L498" s="20"/>
      <c r="M498" s="20"/>
    </row>
    <row r="499" ht="15.75" customHeight="1">
      <c r="H499" s="20"/>
      <c r="I499" s="20"/>
      <c r="J499" s="20"/>
      <c r="K499" s="20"/>
      <c r="L499" s="20"/>
      <c r="M499" s="20"/>
    </row>
    <row r="500" ht="15.75" customHeight="1">
      <c r="H500" s="20"/>
      <c r="I500" s="20"/>
      <c r="J500" s="20"/>
      <c r="K500" s="20"/>
      <c r="L500" s="20"/>
      <c r="M500" s="20"/>
    </row>
    <row r="501" ht="15.75" customHeight="1">
      <c r="H501" s="20"/>
      <c r="I501" s="20"/>
      <c r="J501" s="20"/>
      <c r="K501" s="20"/>
      <c r="L501" s="20"/>
      <c r="M501" s="20"/>
    </row>
    <row r="502" ht="15.75" customHeight="1">
      <c r="H502" s="20"/>
      <c r="I502" s="20"/>
      <c r="J502" s="20"/>
      <c r="K502" s="20"/>
      <c r="L502" s="20"/>
      <c r="M502" s="20"/>
    </row>
    <row r="503" ht="15.75" customHeight="1">
      <c r="H503" s="20"/>
      <c r="I503" s="20"/>
      <c r="J503" s="20"/>
      <c r="K503" s="20"/>
      <c r="L503" s="20"/>
      <c r="M503" s="20"/>
    </row>
    <row r="504" ht="15.75" customHeight="1">
      <c r="H504" s="20"/>
      <c r="I504" s="20"/>
      <c r="J504" s="20"/>
      <c r="K504" s="20"/>
      <c r="L504" s="20"/>
      <c r="M504" s="20"/>
    </row>
    <row r="505" ht="15.75" customHeight="1">
      <c r="H505" s="20"/>
      <c r="I505" s="20"/>
      <c r="J505" s="20"/>
      <c r="K505" s="20"/>
      <c r="L505" s="20"/>
      <c r="M505" s="20"/>
    </row>
    <row r="506" ht="15.75" customHeight="1">
      <c r="H506" s="20"/>
      <c r="I506" s="20"/>
      <c r="J506" s="20"/>
      <c r="K506" s="20"/>
      <c r="L506" s="20"/>
      <c r="M506" s="20"/>
    </row>
    <row r="507" ht="15.75" customHeight="1">
      <c r="H507" s="20"/>
      <c r="I507" s="20"/>
      <c r="J507" s="20"/>
      <c r="K507" s="20"/>
      <c r="L507" s="20"/>
      <c r="M507" s="20"/>
    </row>
    <row r="508" ht="15.75" customHeight="1">
      <c r="H508" s="20"/>
      <c r="I508" s="20"/>
      <c r="J508" s="20"/>
      <c r="K508" s="20"/>
      <c r="L508" s="20"/>
      <c r="M508" s="20"/>
    </row>
    <row r="509" ht="15.75" customHeight="1">
      <c r="H509" s="20"/>
      <c r="I509" s="20"/>
      <c r="J509" s="20"/>
      <c r="K509" s="20"/>
      <c r="L509" s="20"/>
      <c r="M509" s="20"/>
    </row>
    <row r="510" ht="15.75" customHeight="1">
      <c r="H510" s="20"/>
      <c r="I510" s="20"/>
      <c r="J510" s="20"/>
      <c r="K510" s="20"/>
      <c r="L510" s="20"/>
      <c r="M510" s="20"/>
    </row>
    <row r="511" ht="15.75" customHeight="1">
      <c r="H511" s="20"/>
      <c r="I511" s="20"/>
      <c r="J511" s="20"/>
      <c r="K511" s="20"/>
      <c r="L511" s="20"/>
      <c r="M511" s="20"/>
    </row>
    <row r="512" ht="15.75" customHeight="1">
      <c r="H512" s="20"/>
      <c r="I512" s="20"/>
      <c r="J512" s="20"/>
      <c r="K512" s="20"/>
      <c r="L512" s="20"/>
      <c r="M512" s="20"/>
    </row>
    <row r="513" ht="15.75" customHeight="1">
      <c r="H513" s="20"/>
      <c r="I513" s="20"/>
      <c r="J513" s="20"/>
      <c r="K513" s="20"/>
      <c r="L513" s="20"/>
      <c r="M513" s="20"/>
    </row>
    <row r="514" ht="15.75" customHeight="1">
      <c r="H514" s="20"/>
      <c r="I514" s="20"/>
      <c r="J514" s="20"/>
      <c r="K514" s="20"/>
      <c r="L514" s="20"/>
      <c r="M514" s="20"/>
    </row>
    <row r="515" ht="15.75" customHeight="1">
      <c r="H515" s="20"/>
      <c r="I515" s="20"/>
      <c r="J515" s="20"/>
      <c r="K515" s="20"/>
      <c r="L515" s="20"/>
      <c r="M515" s="20"/>
    </row>
    <row r="516" ht="15.75" customHeight="1">
      <c r="H516" s="20"/>
      <c r="I516" s="20"/>
      <c r="J516" s="20"/>
      <c r="K516" s="20"/>
      <c r="L516" s="20"/>
      <c r="M516" s="20"/>
    </row>
    <row r="517" ht="15.75" customHeight="1">
      <c r="H517" s="20"/>
      <c r="I517" s="20"/>
      <c r="J517" s="20"/>
      <c r="K517" s="20"/>
      <c r="L517" s="20"/>
      <c r="M517" s="20"/>
    </row>
    <row r="518" ht="15.75" customHeight="1">
      <c r="H518" s="20"/>
      <c r="I518" s="20"/>
      <c r="J518" s="20"/>
      <c r="K518" s="20"/>
      <c r="L518" s="20"/>
      <c r="M518" s="20"/>
    </row>
    <row r="519" ht="15.75" customHeight="1">
      <c r="H519" s="20"/>
      <c r="I519" s="20"/>
      <c r="J519" s="20"/>
      <c r="K519" s="20"/>
      <c r="L519" s="20"/>
      <c r="M519" s="20"/>
    </row>
    <row r="520" ht="15.75" customHeight="1">
      <c r="H520" s="20"/>
      <c r="I520" s="20"/>
      <c r="J520" s="20"/>
      <c r="K520" s="20"/>
      <c r="L520" s="20"/>
      <c r="M520" s="20"/>
    </row>
    <row r="521" ht="15.75" customHeight="1">
      <c r="H521" s="20"/>
      <c r="I521" s="20"/>
      <c r="J521" s="20"/>
      <c r="K521" s="20"/>
      <c r="L521" s="20"/>
      <c r="M521" s="20"/>
    </row>
    <row r="522" ht="15.75" customHeight="1">
      <c r="H522" s="20"/>
      <c r="I522" s="20"/>
      <c r="J522" s="20"/>
      <c r="K522" s="20"/>
      <c r="L522" s="20"/>
      <c r="M522" s="20"/>
    </row>
    <row r="523" ht="15.75" customHeight="1">
      <c r="H523" s="20"/>
      <c r="I523" s="20"/>
      <c r="J523" s="20"/>
      <c r="K523" s="20"/>
      <c r="L523" s="20"/>
      <c r="M523" s="20"/>
    </row>
    <row r="524" ht="15.75" customHeight="1">
      <c r="H524" s="20"/>
      <c r="I524" s="20"/>
      <c r="J524" s="20"/>
      <c r="K524" s="20"/>
      <c r="L524" s="20"/>
      <c r="M524" s="20"/>
    </row>
    <row r="525" ht="15.75" customHeight="1">
      <c r="H525" s="20"/>
      <c r="I525" s="20"/>
      <c r="J525" s="20"/>
      <c r="K525" s="20"/>
      <c r="L525" s="20"/>
      <c r="M525" s="20"/>
    </row>
    <row r="526" ht="15.75" customHeight="1">
      <c r="H526" s="20"/>
      <c r="I526" s="20"/>
      <c r="J526" s="20"/>
      <c r="K526" s="20"/>
      <c r="L526" s="20"/>
      <c r="M526" s="20"/>
    </row>
    <row r="527" ht="15.75" customHeight="1">
      <c r="H527" s="20"/>
      <c r="I527" s="20"/>
      <c r="J527" s="20"/>
      <c r="K527" s="20"/>
      <c r="L527" s="20"/>
      <c r="M527" s="20"/>
    </row>
    <row r="528" ht="15.75" customHeight="1">
      <c r="H528" s="20"/>
      <c r="I528" s="20"/>
      <c r="J528" s="20"/>
      <c r="K528" s="20"/>
      <c r="L528" s="20"/>
      <c r="M528" s="20"/>
    </row>
    <row r="529" ht="15.75" customHeight="1">
      <c r="H529" s="20"/>
      <c r="I529" s="20"/>
      <c r="J529" s="20"/>
      <c r="K529" s="20"/>
      <c r="L529" s="20"/>
      <c r="M529" s="20"/>
    </row>
    <row r="530" ht="15.75" customHeight="1">
      <c r="H530" s="20"/>
      <c r="I530" s="20"/>
      <c r="J530" s="20"/>
      <c r="K530" s="20"/>
      <c r="L530" s="20"/>
      <c r="M530" s="20"/>
    </row>
    <row r="531" ht="15.75" customHeight="1">
      <c r="H531" s="20"/>
      <c r="I531" s="20"/>
      <c r="J531" s="20"/>
      <c r="K531" s="20"/>
      <c r="L531" s="20"/>
      <c r="M531" s="20"/>
    </row>
    <row r="532" ht="15.75" customHeight="1">
      <c r="H532" s="20"/>
      <c r="I532" s="20"/>
      <c r="J532" s="20"/>
      <c r="K532" s="20"/>
      <c r="L532" s="20"/>
      <c r="M532" s="20"/>
    </row>
    <row r="533" ht="15.75" customHeight="1">
      <c r="H533" s="20"/>
      <c r="I533" s="20"/>
      <c r="J533" s="20"/>
      <c r="K533" s="20"/>
      <c r="L533" s="20"/>
      <c r="M533" s="20"/>
    </row>
    <row r="534" ht="15.75" customHeight="1">
      <c r="H534" s="20"/>
      <c r="I534" s="20"/>
      <c r="J534" s="20"/>
      <c r="K534" s="20"/>
      <c r="L534" s="20"/>
      <c r="M534" s="20"/>
    </row>
    <row r="535" ht="15.75" customHeight="1">
      <c r="H535" s="20"/>
      <c r="I535" s="20"/>
      <c r="J535" s="20"/>
      <c r="K535" s="20"/>
      <c r="L535" s="20"/>
      <c r="M535" s="20"/>
    </row>
    <row r="536" ht="15.75" customHeight="1">
      <c r="H536" s="20"/>
      <c r="I536" s="20"/>
      <c r="J536" s="20"/>
      <c r="K536" s="20"/>
      <c r="L536" s="20"/>
      <c r="M536" s="20"/>
    </row>
    <row r="537" ht="15.75" customHeight="1">
      <c r="H537" s="20"/>
      <c r="I537" s="20"/>
      <c r="J537" s="20"/>
      <c r="K537" s="20"/>
      <c r="L537" s="20"/>
      <c r="M537" s="20"/>
    </row>
    <row r="538" ht="15.75" customHeight="1">
      <c r="H538" s="20"/>
      <c r="I538" s="20"/>
      <c r="J538" s="20"/>
      <c r="K538" s="20"/>
      <c r="L538" s="20"/>
      <c r="M538" s="20"/>
    </row>
    <row r="539" ht="15.75" customHeight="1">
      <c r="H539" s="20"/>
      <c r="I539" s="20"/>
      <c r="J539" s="20"/>
      <c r="K539" s="20"/>
      <c r="L539" s="20"/>
      <c r="M539" s="20"/>
    </row>
    <row r="540" ht="15.75" customHeight="1">
      <c r="H540" s="20"/>
      <c r="I540" s="20"/>
      <c r="J540" s="20"/>
      <c r="K540" s="20"/>
      <c r="L540" s="20"/>
      <c r="M540" s="20"/>
    </row>
    <row r="541" ht="15.75" customHeight="1">
      <c r="H541" s="20"/>
      <c r="I541" s="20"/>
      <c r="J541" s="20"/>
      <c r="K541" s="20"/>
      <c r="L541" s="20"/>
      <c r="M541" s="20"/>
    </row>
    <row r="542" ht="15.75" customHeight="1">
      <c r="H542" s="20"/>
      <c r="I542" s="20"/>
      <c r="J542" s="20"/>
      <c r="K542" s="20"/>
      <c r="L542" s="20"/>
      <c r="M542" s="20"/>
    </row>
    <row r="543" ht="15.75" customHeight="1">
      <c r="H543" s="20"/>
      <c r="I543" s="20"/>
      <c r="J543" s="20"/>
      <c r="K543" s="20"/>
      <c r="L543" s="20"/>
      <c r="M543" s="20"/>
    </row>
    <row r="544" ht="15.75" customHeight="1">
      <c r="H544" s="20"/>
      <c r="I544" s="20"/>
      <c r="J544" s="20"/>
      <c r="K544" s="20"/>
      <c r="L544" s="20"/>
      <c r="M544" s="20"/>
    </row>
    <row r="545" ht="15.75" customHeight="1">
      <c r="H545" s="20"/>
      <c r="I545" s="20"/>
      <c r="J545" s="20"/>
      <c r="K545" s="20"/>
      <c r="L545" s="20"/>
      <c r="M545" s="20"/>
    </row>
    <row r="546" ht="15.75" customHeight="1">
      <c r="H546" s="20"/>
      <c r="I546" s="20"/>
      <c r="J546" s="20"/>
      <c r="K546" s="20"/>
      <c r="L546" s="20"/>
      <c r="M546" s="20"/>
    </row>
    <row r="547" ht="15.75" customHeight="1">
      <c r="H547" s="20"/>
      <c r="I547" s="20"/>
      <c r="J547" s="20"/>
      <c r="K547" s="20"/>
      <c r="L547" s="20"/>
      <c r="M547" s="20"/>
    </row>
    <row r="548" ht="15.75" customHeight="1">
      <c r="H548" s="20"/>
      <c r="I548" s="20"/>
      <c r="J548" s="20"/>
      <c r="K548" s="20"/>
      <c r="L548" s="20"/>
      <c r="M548" s="20"/>
    </row>
    <row r="549" ht="15.75" customHeight="1">
      <c r="H549" s="20"/>
      <c r="I549" s="20"/>
      <c r="J549" s="20"/>
      <c r="K549" s="20"/>
      <c r="L549" s="20"/>
      <c r="M549" s="20"/>
    </row>
    <row r="550" ht="15.75" customHeight="1">
      <c r="H550" s="20"/>
      <c r="I550" s="20"/>
      <c r="J550" s="20"/>
      <c r="K550" s="20"/>
      <c r="L550" s="20"/>
      <c r="M550" s="20"/>
    </row>
    <row r="551" ht="15.75" customHeight="1">
      <c r="H551" s="20"/>
      <c r="I551" s="20"/>
      <c r="J551" s="20"/>
      <c r="K551" s="20"/>
      <c r="L551" s="20"/>
      <c r="M551" s="20"/>
    </row>
    <row r="552" ht="15.75" customHeight="1">
      <c r="H552" s="20"/>
      <c r="I552" s="20"/>
      <c r="J552" s="20"/>
      <c r="K552" s="20"/>
      <c r="L552" s="20"/>
      <c r="M552" s="20"/>
    </row>
    <row r="553" ht="15.75" customHeight="1">
      <c r="H553" s="20"/>
      <c r="I553" s="20"/>
      <c r="J553" s="20"/>
      <c r="K553" s="20"/>
      <c r="L553" s="20"/>
      <c r="M553" s="20"/>
    </row>
    <row r="554" ht="15.75" customHeight="1">
      <c r="H554" s="20"/>
      <c r="I554" s="20"/>
      <c r="J554" s="20"/>
      <c r="K554" s="20"/>
      <c r="L554" s="20"/>
      <c r="M554" s="20"/>
    </row>
    <row r="555" ht="15.75" customHeight="1">
      <c r="H555" s="20"/>
      <c r="I555" s="20"/>
      <c r="J555" s="20"/>
      <c r="K555" s="20"/>
      <c r="L555" s="20"/>
      <c r="M555" s="20"/>
    </row>
    <row r="556" ht="15.75" customHeight="1">
      <c r="H556" s="20"/>
      <c r="I556" s="20"/>
      <c r="J556" s="20"/>
      <c r="K556" s="20"/>
      <c r="L556" s="20"/>
      <c r="M556" s="20"/>
    </row>
    <row r="557" ht="15.75" customHeight="1">
      <c r="H557" s="20"/>
      <c r="I557" s="20"/>
      <c r="J557" s="20"/>
      <c r="K557" s="20"/>
      <c r="L557" s="20"/>
      <c r="M557" s="20"/>
    </row>
    <row r="558" ht="15.75" customHeight="1">
      <c r="H558" s="20"/>
      <c r="I558" s="20"/>
      <c r="J558" s="20"/>
      <c r="K558" s="20"/>
      <c r="L558" s="20"/>
      <c r="M558" s="20"/>
    </row>
    <row r="559" ht="15.75" customHeight="1">
      <c r="H559" s="20"/>
      <c r="I559" s="20"/>
      <c r="J559" s="20"/>
      <c r="K559" s="20"/>
      <c r="L559" s="20"/>
      <c r="M559" s="20"/>
    </row>
    <row r="560" ht="15.75" customHeight="1">
      <c r="H560" s="20"/>
      <c r="I560" s="20"/>
      <c r="J560" s="20"/>
      <c r="K560" s="20"/>
      <c r="L560" s="20"/>
      <c r="M560" s="20"/>
    </row>
    <row r="561" ht="15.75" customHeight="1">
      <c r="H561" s="20"/>
      <c r="I561" s="20"/>
      <c r="J561" s="20"/>
      <c r="K561" s="20"/>
      <c r="L561" s="20"/>
      <c r="M561" s="20"/>
    </row>
    <row r="562" ht="15.75" customHeight="1">
      <c r="H562" s="20"/>
      <c r="I562" s="20"/>
      <c r="J562" s="20"/>
      <c r="K562" s="20"/>
      <c r="L562" s="20"/>
      <c r="M562" s="20"/>
    </row>
    <row r="563" ht="15.75" customHeight="1">
      <c r="H563" s="20"/>
      <c r="I563" s="20"/>
      <c r="J563" s="20"/>
      <c r="K563" s="20"/>
      <c r="L563" s="20"/>
      <c r="M563" s="20"/>
    </row>
    <row r="564" ht="15.75" customHeight="1">
      <c r="H564" s="20"/>
      <c r="I564" s="20"/>
      <c r="J564" s="20"/>
      <c r="K564" s="20"/>
      <c r="L564" s="20"/>
      <c r="M564" s="20"/>
    </row>
    <row r="565" ht="15.75" customHeight="1">
      <c r="H565" s="20"/>
      <c r="I565" s="20"/>
      <c r="J565" s="20"/>
      <c r="K565" s="20"/>
      <c r="L565" s="20"/>
      <c r="M565" s="20"/>
    </row>
    <row r="566" ht="15.75" customHeight="1">
      <c r="H566" s="20"/>
      <c r="I566" s="20"/>
      <c r="J566" s="20"/>
      <c r="K566" s="20"/>
      <c r="L566" s="20"/>
      <c r="M566" s="20"/>
    </row>
    <row r="567" ht="15.75" customHeight="1">
      <c r="H567" s="20"/>
      <c r="I567" s="20"/>
      <c r="J567" s="20"/>
      <c r="K567" s="20"/>
      <c r="L567" s="20"/>
      <c r="M567" s="20"/>
    </row>
    <row r="568" ht="15.75" customHeight="1">
      <c r="H568" s="20"/>
      <c r="I568" s="20"/>
      <c r="J568" s="20"/>
      <c r="K568" s="20"/>
      <c r="L568" s="20"/>
      <c r="M568" s="20"/>
    </row>
    <row r="569" ht="15.75" customHeight="1">
      <c r="H569" s="20"/>
      <c r="I569" s="20"/>
      <c r="J569" s="20"/>
      <c r="K569" s="20"/>
      <c r="L569" s="20"/>
      <c r="M569" s="20"/>
    </row>
    <row r="570" ht="15.75" customHeight="1">
      <c r="H570" s="20"/>
      <c r="I570" s="20"/>
      <c r="J570" s="20"/>
      <c r="K570" s="20"/>
      <c r="L570" s="20"/>
      <c r="M570" s="20"/>
    </row>
    <row r="571" ht="15.75" customHeight="1">
      <c r="H571" s="20"/>
      <c r="I571" s="20"/>
      <c r="J571" s="20"/>
      <c r="K571" s="20"/>
      <c r="L571" s="20"/>
      <c r="M571" s="20"/>
    </row>
    <row r="572" ht="15.75" customHeight="1">
      <c r="H572" s="20"/>
      <c r="I572" s="20"/>
      <c r="J572" s="20"/>
      <c r="K572" s="20"/>
      <c r="L572" s="20"/>
      <c r="M572" s="20"/>
    </row>
    <row r="573" ht="15.75" customHeight="1">
      <c r="H573" s="20"/>
      <c r="I573" s="20"/>
      <c r="J573" s="20"/>
      <c r="K573" s="20"/>
      <c r="L573" s="20"/>
      <c r="M573" s="20"/>
    </row>
    <row r="574" ht="15.75" customHeight="1">
      <c r="H574" s="20"/>
      <c r="I574" s="20"/>
      <c r="J574" s="20"/>
      <c r="K574" s="20"/>
      <c r="L574" s="20"/>
      <c r="M574" s="20"/>
    </row>
    <row r="575" ht="15.75" customHeight="1">
      <c r="H575" s="20"/>
      <c r="I575" s="20"/>
      <c r="J575" s="20"/>
      <c r="K575" s="20"/>
      <c r="L575" s="20"/>
      <c r="M575" s="20"/>
    </row>
    <row r="576" ht="15.75" customHeight="1">
      <c r="H576" s="20"/>
      <c r="I576" s="20"/>
      <c r="J576" s="20"/>
      <c r="K576" s="20"/>
      <c r="L576" s="20"/>
      <c r="M576" s="20"/>
    </row>
    <row r="577" ht="15.75" customHeight="1">
      <c r="H577" s="20"/>
      <c r="I577" s="20"/>
      <c r="J577" s="20"/>
      <c r="K577" s="20"/>
      <c r="L577" s="20"/>
      <c r="M577" s="20"/>
    </row>
    <row r="578" ht="15.75" customHeight="1">
      <c r="H578" s="20"/>
      <c r="I578" s="20"/>
      <c r="J578" s="20"/>
      <c r="K578" s="20"/>
      <c r="L578" s="20"/>
      <c r="M578" s="20"/>
    </row>
    <row r="579" ht="15.75" customHeight="1">
      <c r="H579" s="20"/>
      <c r="I579" s="20"/>
      <c r="J579" s="20"/>
      <c r="K579" s="20"/>
      <c r="L579" s="20"/>
      <c r="M579" s="20"/>
    </row>
    <row r="580" ht="15.75" customHeight="1">
      <c r="H580" s="20"/>
      <c r="I580" s="20"/>
      <c r="J580" s="20"/>
      <c r="K580" s="20"/>
      <c r="L580" s="20"/>
      <c r="M580" s="20"/>
    </row>
    <row r="581" ht="15.75" customHeight="1">
      <c r="H581" s="20"/>
      <c r="I581" s="20"/>
      <c r="J581" s="20"/>
      <c r="K581" s="20"/>
      <c r="L581" s="20"/>
      <c r="M581" s="20"/>
    </row>
    <row r="582" ht="15.75" customHeight="1">
      <c r="H582" s="20"/>
      <c r="I582" s="20"/>
      <c r="J582" s="20"/>
      <c r="K582" s="20"/>
      <c r="L582" s="20"/>
      <c r="M582" s="20"/>
    </row>
    <row r="583" ht="15.75" customHeight="1">
      <c r="H583" s="20"/>
      <c r="I583" s="20"/>
      <c r="J583" s="20"/>
      <c r="K583" s="20"/>
      <c r="L583" s="20"/>
      <c r="M583" s="20"/>
    </row>
    <row r="584" ht="15.75" customHeight="1">
      <c r="H584" s="20"/>
      <c r="I584" s="20"/>
      <c r="J584" s="20"/>
      <c r="K584" s="20"/>
      <c r="L584" s="20"/>
      <c r="M584" s="20"/>
    </row>
    <row r="585" ht="15.75" customHeight="1">
      <c r="H585" s="20"/>
      <c r="I585" s="20"/>
      <c r="J585" s="20"/>
      <c r="K585" s="20"/>
      <c r="L585" s="20"/>
      <c r="M585" s="20"/>
    </row>
    <row r="586" ht="15.75" customHeight="1">
      <c r="H586" s="20"/>
      <c r="I586" s="20"/>
      <c r="J586" s="20"/>
      <c r="K586" s="20"/>
      <c r="L586" s="20"/>
      <c r="M586" s="20"/>
    </row>
    <row r="587" ht="15.75" customHeight="1">
      <c r="H587" s="20"/>
      <c r="I587" s="20"/>
      <c r="J587" s="20"/>
      <c r="K587" s="20"/>
      <c r="L587" s="20"/>
      <c r="M587" s="20"/>
    </row>
    <row r="588" ht="15.75" customHeight="1">
      <c r="H588" s="20"/>
      <c r="I588" s="20"/>
      <c r="J588" s="20"/>
      <c r="K588" s="20"/>
      <c r="L588" s="20"/>
      <c r="M588" s="20"/>
    </row>
    <row r="589" ht="15.75" customHeight="1">
      <c r="H589" s="20"/>
      <c r="I589" s="20"/>
      <c r="J589" s="20"/>
      <c r="K589" s="20"/>
      <c r="L589" s="20"/>
      <c r="M589" s="20"/>
    </row>
    <row r="590" ht="15.75" customHeight="1">
      <c r="H590" s="20"/>
      <c r="I590" s="20"/>
      <c r="J590" s="20"/>
      <c r="K590" s="20"/>
      <c r="L590" s="20"/>
      <c r="M590" s="20"/>
    </row>
    <row r="591" ht="15.75" customHeight="1">
      <c r="H591" s="20"/>
      <c r="I591" s="20"/>
      <c r="J591" s="20"/>
      <c r="K591" s="20"/>
      <c r="L591" s="20"/>
      <c r="M591" s="20"/>
    </row>
    <row r="592" ht="15.75" customHeight="1">
      <c r="H592" s="20"/>
      <c r="I592" s="20"/>
      <c r="J592" s="20"/>
      <c r="K592" s="20"/>
      <c r="L592" s="20"/>
      <c r="M592" s="20"/>
    </row>
    <row r="593" ht="15.75" customHeight="1">
      <c r="H593" s="20"/>
      <c r="I593" s="20"/>
      <c r="J593" s="20"/>
      <c r="K593" s="20"/>
      <c r="L593" s="20"/>
      <c r="M593" s="20"/>
    </row>
    <row r="594" ht="15.75" customHeight="1">
      <c r="H594" s="20"/>
      <c r="I594" s="20"/>
      <c r="J594" s="20"/>
      <c r="K594" s="20"/>
      <c r="L594" s="20"/>
      <c r="M594" s="20"/>
    </row>
    <row r="595" ht="15.75" customHeight="1">
      <c r="H595" s="20"/>
      <c r="I595" s="20"/>
      <c r="J595" s="20"/>
      <c r="K595" s="20"/>
      <c r="L595" s="20"/>
      <c r="M595" s="20"/>
    </row>
    <row r="596" ht="15.75" customHeight="1">
      <c r="H596" s="20"/>
      <c r="I596" s="20"/>
      <c r="J596" s="20"/>
      <c r="K596" s="20"/>
      <c r="L596" s="20"/>
      <c r="M596" s="20"/>
    </row>
    <row r="597" ht="15.75" customHeight="1">
      <c r="H597" s="20"/>
      <c r="I597" s="20"/>
      <c r="J597" s="20"/>
      <c r="K597" s="20"/>
      <c r="L597" s="20"/>
      <c r="M597" s="20"/>
    </row>
    <row r="598" ht="15.75" customHeight="1">
      <c r="H598" s="20"/>
      <c r="I598" s="20"/>
      <c r="J598" s="20"/>
      <c r="K598" s="20"/>
      <c r="L598" s="20"/>
      <c r="M598" s="20"/>
    </row>
    <row r="599" ht="15.75" customHeight="1">
      <c r="H599" s="20"/>
      <c r="I599" s="20"/>
      <c r="J599" s="20"/>
      <c r="K599" s="20"/>
      <c r="L599" s="20"/>
      <c r="M599" s="20"/>
    </row>
    <row r="600" ht="15.75" customHeight="1">
      <c r="H600" s="20"/>
      <c r="I600" s="20"/>
      <c r="J600" s="20"/>
      <c r="K600" s="20"/>
      <c r="L600" s="20"/>
      <c r="M600" s="20"/>
    </row>
    <row r="601" ht="15.75" customHeight="1">
      <c r="H601" s="20"/>
      <c r="I601" s="20"/>
      <c r="J601" s="20"/>
      <c r="K601" s="20"/>
      <c r="L601" s="20"/>
      <c r="M601" s="20"/>
    </row>
    <row r="602" ht="15.75" customHeight="1">
      <c r="H602" s="20"/>
      <c r="I602" s="20"/>
      <c r="J602" s="20"/>
      <c r="K602" s="20"/>
      <c r="L602" s="20"/>
      <c r="M602" s="20"/>
    </row>
    <row r="603" ht="15.75" customHeight="1">
      <c r="H603" s="20"/>
      <c r="I603" s="20"/>
      <c r="J603" s="20"/>
      <c r="K603" s="20"/>
      <c r="L603" s="20"/>
      <c r="M603" s="20"/>
    </row>
    <row r="604" ht="15.75" customHeight="1">
      <c r="H604" s="20"/>
      <c r="I604" s="20"/>
      <c r="J604" s="20"/>
      <c r="K604" s="20"/>
      <c r="L604" s="20"/>
      <c r="M604" s="20"/>
    </row>
    <row r="605" ht="15.75" customHeight="1">
      <c r="H605" s="20"/>
      <c r="I605" s="20"/>
      <c r="J605" s="20"/>
      <c r="K605" s="20"/>
      <c r="L605" s="20"/>
      <c r="M605" s="20"/>
    </row>
    <row r="606" ht="15.75" customHeight="1">
      <c r="H606" s="20"/>
      <c r="I606" s="20"/>
      <c r="J606" s="20"/>
      <c r="K606" s="20"/>
      <c r="L606" s="20"/>
      <c r="M606" s="20"/>
    </row>
    <row r="607" ht="15.75" customHeight="1">
      <c r="H607" s="20"/>
      <c r="I607" s="20"/>
      <c r="J607" s="20"/>
      <c r="K607" s="20"/>
      <c r="L607" s="20"/>
      <c r="M607" s="20"/>
    </row>
    <row r="608" ht="15.75" customHeight="1">
      <c r="H608" s="20"/>
      <c r="I608" s="20"/>
      <c r="J608" s="20"/>
      <c r="K608" s="20"/>
      <c r="L608" s="20"/>
      <c r="M608" s="20"/>
    </row>
    <row r="609" ht="15.75" customHeight="1">
      <c r="H609" s="20"/>
      <c r="I609" s="20"/>
      <c r="J609" s="20"/>
      <c r="K609" s="20"/>
      <c r="L609" s="20"/>
      <c r="M609" s="20"/>
    </row>
    <row r="610" ht="15.75" customHeight="1">
      <c r="H610" s="20"/>
      <c r="I610" s="20"/>
      <c r="J610" s="20"/>
      <c r="K610" s="20"/>
      <c r="L610" s="20"/>
      <c r="M610" s="20"/>
    </row>
    <row r="611" ht="15.75" customHeight="1">
      <c r="H611" s="20"/>
      <c r="I611" s="20"/>
      <c r="J611" s="20"/>
      <c r="K611" s="20"/>
      <c r="L611" s="20"/>
      <c r="M611" s="20"/>
    </row>
    <row r="612" ht="15.75" customHeight="1">
      <c r="H612" s="20"/>
      <c r="I612" s="20"/>
      <c r="J612" s="20"/>
      <c r="K612" s="20"/>
      <c r="L612" s="20"/>
      <c r="M612" s="20"/>
    </row>
    <row r="613" ht="15.75" customHeight="1">
      <c r="H613" s="20"/>
      <c r="I613" s="20"/>
      <c r="J613" s="20"/>
      <c r="K613" s="20"/>
      <c r="L613" s="20"/>
      <c r="M613" s="20"/>
    </row>
    <row r="614" ht="15.75" customHeight="1">
      <c r="H614" s="20"/>
      <c r="I614" s="20"/>
      <c r="J614" s="20"/>
      <c r="K614" s="20"/>
      <c r="L614" s="20"/>
      <c r="M614" s="20"/>
    </row>
    <row r="615" ht="15.75" customHeight="1">
      <c r="H615" s="20"/>
      <c r="I615" s="20"/>
      <c r="J615" s="20"/>
      <c r="K615" s="20"/>
      <c r="L615" s="20"/>
      <c r="M615" s="20"/>
    </row>
    <row r="616" ht="15.75" customHeight="1">
      <c r="H616" s="20"/>
      <c r="I616" s="20"/>
      <c r="J616" s="20"/>
      <c r="K616" s="20"/>
      <c r="L616" s="20"/>
      <c r="M616" s="20"/>
    </row>
    <row r="617" ht="15.75" customHeight="1">
      <c r="H617" s="20"/>
      <c r="I617" s="20"/>
      <c r="J617" s="20"/>
      <c r="K617" s="20"/>
      <c r="L617" s="20"/>
      <c r="M617" s="20"/>
    </row>
    <row r="618" ht="15.75" customHeight="1">
      <c r="H618" s="20"/>
      <c r="I618" s="20"/>
      <c r="J618" s="20"/>
      <c r="K618" s="20"/>
      <c r="L618" s="20"/>
      <c r="M618" s="20"/>
    </row>
    <row r="619" ht="15.75" customHeight="1">
      <c r="H619" s="20"/>
      <c r="I619" s="20"/>
      <c r="J619" s="20"/>
      <c r="K619" s="20"/>
      <c r="L619" s="20"/>
      <c r="M619" s="20"/>
    </row>
    <row r="620" ht="15.75" customHeight="1">
      <c r="H620" s="20"/>
      <c r="I620" s="20"/>
      <c r="J620" s="20"/>
      <c r="K620" s="20"/>
      <c r="L620" s="20"/>
      <c r="M620" s="20"/>
    </row>
    <row r="621" ht="15.75" customHeight="1">
      <c r="H621" s="20"/>
      <c r="I621" s="20"/>
      <c r="J621" s="20"/>
      <c r="K621" s="20"/>
      <c r="L621" s="20"/>
      <c r="M621" s="20"/>
    </row>
    <row r="622" ht="15.75" customHeight="1">
      <c r="H622" s="20"/>
      <c r="I622" s="20"/>
      <c r="J622" s="20"/>
      <c r="K622" s="20"/>
      <c r="L622" s="20"/>
      <c r="M622" s="20"/>
    </row>
    <row r="623" ht="15.75" customHeight="1">
      <c r="H623" s="20"/>
      <c r="I623" s="20"/>
      <c r="J623" s="20"/>
      <c r="K623" s="20"/>
      <c r="L623" s="20"/>
      <c r="M623" s="20"/>
    </row>
    <row r="624" ht="15.75" customHeight="1">
      <c r="H624" s="20"/>
      <c r="I624" s="20"/>
      <c r="J624" s="20"/>
      <c r="K624" s="20"/>
      <c r="L624" s="20"/>
      <c r="M624" s="20"/>
    </row>
    <row r="625" ht="15.75" customHeight="1">
      <c r="H625" s="20"/>
      <c r="I625" s="20"/>
      <c r="J625" s="20"/>
      <c r="K625" s="20"/>
      <c r="L625" s="20"/>
      <c r="M625" s="20"/>
    </row>
    <row r="626" ht="15.75" customHeight="1">
      <c r="H626" s="20"/>
      <c r="I626" s="20"/>
      <c r="J626" s="20"/>
      <c r="K626" s="20"/>
      <c r="L626" s="20"/>
      <c r="M626" s="20"/>
    </row>
    <row r="627" ht="15.75" customHeight="1">
      <c r="H627" s="20"/>
      <c r="I627" s="20"/>
      <c r="J627" s="20"/>
      <c r="K627" s="20"/>
      <c r="L627" s="20"/>
      <c r="M627" s="20"/>
    </row>
    <row r="628" ht="15.75" customHeight="1">
      <c r="H628" s="20"/>
      <c r="I628" s="20"/>
      <c r="J628" s="20"/>
      <c r="K628" s="20"/>
      <c r="L628" s="20"/>
      <c r="M628" s="20"/>
    </row>
    <row r="629" ht="15.75" customHeight="1">
      <c r="H629" s="20"/>
      <c r="I629" s="20"/>
      <c r="J629" s="20"/>
      <c r="K629" s="20"/>
      <c r="L629" s="20"/>
      <c r="M629" s="20"/>
    </row>
    <row r="630" ht="15.75" customHeight="1">
      <c r="H630" s="20"/>
      <c r="I630" s="20"/>
      <c r="J630" s="20"/>
      <c r="K630" s="20"/>
      <c r="L630" s="20"/>
      <c r="M630" s="20"/>
    </row>
    <row r="631" ht="15.75" customHeight="1">
      <c r="H631" s="20"/>
      <c r="I631" s="20"/>
      <c r="J631" s="20"/>
      <c r="K631" s="20"/>
      <c r="L631" s="20"/>
      <c r="M631" s="20"/>
    </row>
    <row r="632" ht="15.75" customHeight="1">
      <c r="H632" s="20"/>
      <c r="I632" s="20"/>
      <c r="J632" s="20"/>
      <c r="K632" s="20"/>
      <c r="L632" s="20"/>
      <c r="M632" s="20"/>
    </row>
    <row r="633" ht="15.75" customHeight="1">
      <c r="H633" s="20"/>
      <c r="I633" s="20"/>
      <c r="J633" s="20"/>
      <c r="K633" s="20"/>
      <c r="L633" s="20"/>
      <c r="M633" s="20"/>
    </row>
    <row r="634" ht="15.75" customHeight="1">
      <c r="H634" s="20"/>
      <c r="I634" s="20"/>
      <c r="J634" s="20"/>
      <c r="K634" s="20"/>
      <c r="L634" s="20"/>
      <c r="M634" s="20"/>
    </row>
    <row r="635" ht="15.75" customHeight="1">
      <c r="H635" s="20"/>
      <c r="I635" s="20"/>
      <c r="J635" s="20"/>
      <c r="K635" s="20"/>
      <c r="L635" s="20"/>
      <c r="M635" s="20"/>
    </row>
    <row r="636" ht="15.75" customHeight="1">
      <c r="H636" s="20"/>
      <c r="I636" s="20"/>
      <c r="J636" s="20"/>
      <c r="K636" s="20"/>
      <c r="L636" s="20"/>
      <c r="M636" s="20"/>
    </row>
    <row r="637" ht="15.75" customHeight="1">
      <c r="H637" s="20"/>
      <c r="I637" s="20"/>
      <c r="J637" s="20"/>
      <c r="K637" s="20"/>
      <c r="L637" s="20"/>
      <c r="M637" s="20"/>
    </row>
    <row r="638" ht="15.75" customHeight="1">
      <c r="H638" s="20"/>
      <c r="I638" s="20"/>
      <c r="J638" s="20"/>
      <c r="K638" s="20"/>
      <c r="L638" s="20"/>
      <c r="M638" s="20"/>
    </row>
    <row r="639" ht="15.75" customHeight="1">
      <c r="H639" s="20"/>
      <c r="I639" s="20"/>
      <c r="J639" s="20"/>
      <c r="K639" s="20"/>
      <c r="L639" s="20"/>
      <c r="M639" s="20"/>
    </row>
    <row r="640" ht="15.75" customHeight="1">
      <c r="H640" s="20"/>
      <c r="I640" s="20"/>
      <c r="J640" s="20"/>
      <c r="K640" s="20"/>
      <c r="L640" s="20"/>
      <c r="M640" s="20"/>
    </row>
    <row r="641" ht="15.75" customHeight="1">
      <c r="H641" s="20"/>
      <c r="I641" s="20"/>
      <c r="J641" s="20"/>
      <c r="K641" s="20"/>
      <c r="L641" s="20"/>
      <c r="M641" s="20"/>
    </row>
    <row r="642" ht="15.75" customHeight="1">
      <c r="H642" s="20"/>
      <c r="I642" s="20"/>
      <c r="J642" s="20"/>
      <c r="K642" s="20"/>
      <c r="L642" s="20"/>
      <c r="M642" s="20"/>
    </row>
    <row r="643" ht="15.75" customHeight="1">
      <c r="H643" s="20"/>
      <c r="I643" s="20"/>
      <c r="J643" s="20"/>
      <c r="K643" s="20"/>
      <c r="L643" s="20"/>
      <c r="M643" s="20"/>
    </row>
    <row r="644" ht="15.75" customHeight="1">
      <c r="H644" s="20"/>
      <c r="I644" s="20"/>
      <c r="J644" s="20"/>
      <c r="K644" s="20"/>
      <c r="L644" s="20"/>
      <c r="M644" s="20"/>
    </row>
    <row r="645" ht="15.75" customHeight="1">
      <c r="H645" s="20"/>
      <c r="I645" s="20"/>
      <c r="J645" s="20"/>
      <c r="K645" s="20"/>
      <c r="L645" s="20"/>
      <c r="M645" s="20"/>
    </row>
    <row r="646" ht="15.75" customHeight="1">
      <c r="H646" s="20"/>
      <c r="I646" s="20"/>
      <c r="J646" s="20"/>
      <c r="K646" s="20"/>
      <c r="L646" s="20"/>
      <c r="M646" s="20"/>
    </row>
    <row r="647" ht="15.75" customHeight="1">
      <c r="H647" s="20"/>
      <c r="I647" s="20"/>
      <c r="J647" s="20"/>
      <c r="K647" s="20"/>
      <c r="L647" s="20"/>
      <c r="M647" s="20"/>
    </row>
    <row r="648" ht="15.75" customHeight="1">
      <c r="H648" s="20"/>
      <c r="I648" s="20"/>
      <c r="J648" s="20"/>
      <c r="K648" s="20"/>
      <c r="L648" s="20"/>
      <c r="M648" s="20"/>
    </row>
    <row r="649" ht="15.75" customHeight="1">
      <c r="H649" s="20"/>
      <c r="I649" s="20"/>
      <c r="J649" s="20"/>
      <c r="K649" s="20"/>
      <c r="L649" s="20"/>
      <c r="M649" s="20"/>
    </row>
    <row r="650" ht="15.75" customHeight="1">
      <c r="H650" s="20"/>
      <c r="I650" s="20"/>
      <c r="J650" s="20"/>
      <c r="K650" s="20"/>
      <c r="L650" s="20"/>
      <c r="M650" s="20"/>
    </row>
    <row r="651" ht="15.75" customHeight="1">
      <c r="H651" s="20"/>
      <c r="I651" s="20"/>
      <c r="J651" s="20"/>
      <c r="K651" s="20"/>
      <c r="L651" s="20"/>
      <c r="M651" s="20"/>
    </row>
    <row r="652" ht="15.75" customHeight="1">
      <c r="H652" s="20"/>
      <c r="I652" s="20"/>
      <c r="J652" s="20"/>
      <c r="K652" s="20"/>
      <c r="L652" s="20"/>
      <c r="M652" s="20"/>
    </row>
    <row r="653" ht="15.75" customHeight="1">
      <c r="H653" s="20"/>
      <c r="I653" s="20"/>
      <c r="J653" s="20"/>
      <c r="K653" s="20"/>
      <c r="L653" s="20"/>
      <c r="M653" s="20"/>
    </row>
    <row r="654" ht="15.75" customHeight="1">
      <c r="H654" s="20"/>
      <c r="I654" s="20"/>
      <c r="J654" s="20"/>
      <c r="K654" s="20"/>
      <c r="L654" s="20"/>
      <c r="M654" s="20"/>
    </row>
    <row r="655" ht="15.75" customHeight="1">
      <c r="H655" s="20"/>
      <c r="I655" s="20"/>
      <c r="J655" s="20"/>
      <c r="K655" s="20"/>
      <c r="L655" s="20"/>
      <c r="M655" s="20"/>
    </row>
    <row r="656" ht="15.75" customHeight="1">
      <c r="H656" s="20"/>
      <c r="I656" s="20"/>
      <c r="J656" s="20"/>
      <c r="K656" s="20"/>
      <c r="L656" s="20"/>
      <c r="M656" s="20"/>
    </row>
    <row r="657" ht="15.75" customHeight="1">
      <c r="H657" s="20"/>
      <c r="I657" s="20"/>
      <c r="J657" s="20"/>
      <c r="K657" s="20"/>
      <c r="L657" s="20"/>
      <c r="M657" s="20"/>
    </row>
    <row r="658" ht="15.75" customHeight="1">
      <c r="H658" s="20"/>
      <c r="I658" s="20"/>
      <c r="J658" s="20"/>
      <c r="K658" s="20"/>
      <c r="L658" s="20"/>
      <c r="M658" s="20"/>
    </row>
    <row r="659" ht="15.75" customHeight="1">
      <c r="H659" s="20"/>
      <c r="I659" s="20"/>
      <c r="J659" s="20"/>
      <c r="K659" s="20"/>
      <c r="L659" s="20"/>
      <c r="M659" s="20"/>
    </row>
    <row r="660" ht="15.75" customHeight="1">
      <c r="H660" s="20"/>
      <c r="I660" s="20"/>
      <c r="J660" s="20"/>
      <c r="K660" s="20"/>
      <c r="L660" s="20"/>
      <c r="M660" s="20"/>
    </row>
    <row r="661" ht="15.75" customHeight="1">
      <c r="H661" s="20"/>
      <c r="I661" s="20"/>
      <c r="J661" s="20"/>
      <c r="K661" s="20"/>
      <c r="L661" s="20"/>
      <c r="M661" s="20"/>
    </row>
    <row r="662" ht="15.75" customHeight="1">
      <c r="H662" s="20"/>
      <c r="I662" s="20"/>
      <c r="J662" s="20"/>
      <c r="K662" s="20"/>
      <c r="L662" s="20"/>
      <c r="M662" s="20"/>
    </row>
    <row r="663" ht="15.75" customHeight="1">
      <c r="H663" s="20"/>
      <c r="I663" s="20"/>
      <c r="J663" s="20"/>
      <c r="K663" s="20"/>
      <c r="L663" s="20"/>
      <c r="M663" s="20"/>
    </row>
    <row r="664" ht="15.75" customHeight="1">
      <c r="H664" s="20"/>
      <c r="I664" s="20"/>
      <c r="J664" s="20"/>
      <c r="K664" s="20"/>
      <c r="L664" s="20"/>
      <c r="M664" s="20"/>
    </row>
    <row r="665" ht="15.75" customHeight="1">
      <c r="H665" s="20"/>
      <c r="I665" s="20"/>
      <c r="J665" s="20"/>
      <c r="K665" s="20"/>
      <c r="L665" s="20"/>
      <c r="M665" s="20"/>
    </row>
    <row r="666" ht="15.75" customHeight="1">
      <c r="H666" s="20"/>
      <c r="I666" s="20"/>
      <c r="J666" s="20"/>
      <c r="K666" s="20"/>
      <c r="L666" s="20"/>
      <c r="M666" s="20"/>
    </row>
    <row r="667" ht="15.75" customHeight="1">
      <c r="H667" s="20"/>
      <c r="I667" s="20"/>
      <c r="J667" s="20"/>
      <c r="K667" s="20"/>
      <c r="L667" s="20"/>
      <c r="M667" s="20"/>
    </row>
    <row r="668" ht="15.75" customHeight="1">
      <c r="H668" s="20"/>
      <c r="I668" s="20"/>
      <c r="J668" s="20"/>
      <c r="K668" s="20"/>
      <c r="L668" s="20"/>
      <c r="M668" s="20"/>
    </row>
    <row r="669" ht="15.75" customHeight="1">
      <c r="H669" s="20"/>
      <c r="I669" s="20"/>
      <c r="J669" s="20"/>
      <c r="K669" s="20"/>
      <c r="L669" s="20"/>
      <c r="M669" s="20"/>
    </row>
    <row r="670" ht="15.75" customHeight="1">
      <c r="H670" s="20"/>
      <c r="I670" s="20"/>
      <c r="J670" s="20"/>
      <c r="K670" s="20"/>
      <c r="L670" s="20"/>
      <c r="M670" s="20"/>
    </row>
    <row r="671" ht="15.75" customHeight="1">
      <c r="H671" s="20"/>
      <c r="I671" s="20"/>
      <c r="J671" s="20"/>
      <c r="K671" s="20"/>
      <c r="L671" s="20"/>
      <c r="M671" s="20"/>
    </row>
    <row r="672" ht="15.75" customHeight="1">
      <c r="H672" s="20"/>
      <c r="I672" s="20"/>
      <c r="J672" s="20"/>
      <c r="K672" s="20"/>
      <c r="L672" s="20"/>
      <c r="M672" s="20"/>
    </row>
    <row r="673" ht="15.75" customHeight="1">
      <c r="H673" s="20"/>
      <c r="I673" s="20"/>
      <c r="J673" s="20"/>
      <c r="K673" s="20"/>
      <c r="L673" s="20"/>
      <c r="M673" s="20"/>
    </row>
    <row r="674" ht="15.75" customHeight="1">
      <c r="H674" s="20"/>
      <c r="I674" s="20"/>
      <c r="J674" s="20"/>
      <c r="K674" s="20"/>
      <c r="L674" s="20"/>
      <c r="M674" s="20"/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440:K441"/>
    <mergeCell ref="L440:L4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3.63"/>
    <col customWidth="1" min="2" max="2" width="23.63"/>
    <col customWidth="1" min="3" max="3" width="24.13"/>
    <col customWidth="1" min="4" max="4" width="21.25"/>
    <col customWidth="1" min="5" max="6" width="12.63"/>
  </cols>
  <sheetData>
    <row r="1" ht="15.75" customHeight="1">
      <c r="A1" s="21" t="s">
        <v>1</v>
      </c>
      <c r="B1" s="21" t="s">
        <v>2764</v>
      </c>
      <c r="C1" s="21" t="s">
        <v>2765</v>
      </c>
      <c r="D1" s="21" t="s">
        <v>2766</v>
      </c>
    </row>
    <row r="2" ht="15.75" customHeight="1">
      <c r="A2" s="21" t="s">
        <v>2594</v>
      </c>
      <c r="B2" s="22">
        <v>0.046511627906976744</v>
      </c>
      <c r="C2" s="21">
        <v>51.400000000000006</v>
      </c>
      <c r="D2" s="21">
        <v>185.8</v>
      </c>
    </row>
    <row r="3" ht="15.75" customHeight="1">
      <c r="A3" s="21" t="s">
        <v>2767</v>
      </c>
      <c r="B3" s="22">
        <v>0.5031712473572939</v>
      </c>
      <c r="C3" s="21">
        <v>15.4</v>
      </c>
      <c r="D3" s="21">
        <v>87.1</v>
      </c>
    </row>
    <row r="4" ht="15.75" customHeight="1">
      <c r="A4" s="21" t="s">
        <v>2768</v>
      </c>
      <c r="B4" s="22">
        <v>0.023255813953488372</v>
      </c>
      <c r="C4" s="21">
        <v>12.3</v>
      </c>
      <c r="D4" s="21">
        <v>21.3</v>
      </c>
    </row>
    <row r="5" ht="15.75" customHeight="1">
      <c r="A5" s="21" t="s">
        <v>2769</v>
      </c>
      <c r="B5" s="22">
        <v>0.4186046511627907</v>
      </c>
      <c r="C5" s="21">
        <v>12.1</v>
      </c>
      <c r="D5" s="21">
        <v>26.6</v>
      </c>
    </row>
    <row r="6" ht="15.75" customHeight="1">
      <c r="A6" s="21" t="s">
        <v>16</v>
      </c>
      <c r="B6" s="22">
        <v>0.006342494714587738</v>
      </c>
      <c r="C6" s="21">
        <v>10.9</v>
      </c>
      <c r="D6" s="21">
        <v>11.3</v>
      </c>
    </row>
    <row r="7" ht="15.75" customHeight="1">
      <c r="A7" s="21" t="s">
        <v>2770</v>
      </c>
      <c r="B7" s="22">
        <v>0.0021141649048625794</v>
      </c>
      <c r="C7" s="21">
        <v>10.0</v>
      </c>
      <c r="D7" s="21">
        <v>10.0</v>
      </c>
    </row>
    <row r="8" ht="15.75" customHeight="1"/>
    <row r="9" ht="15.75" customHeight="1">
      <c r="A9" s="21"/>
    </row>
    <row r="10" ht="15.75" customHeight="1">
      <c r="A10" s="21" t="s">
        <v>2771</v>
      </c>
    </row>
    <row r="11" ht="15.75" customHeight="1">
      <c r="A11" s="21" t="s">
        <v>2772</v>
      </c>
    </row>
    <row r="12" ht="15.75" customHeight="1">
      <c r="A12" s="21" t="s">
        <v>2773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1:C1000">
    <cfRule type="colorScale" priority="2">
      <colorScale>
        <cfvo type="min"/>
        <cfvo type="max"/>
        <color rgb="FFFFFFFF"/>
        <color rgb="FFE67C73"/>
      </colorScale>
    </cfRule>
  </conditionalFormatting>
  <conditionalFormatting sqref="D1:D1000">
    <cfRule type="colorScale" priority="3">
      <colorScale>
        <cfvo type="min"/>
        <cfvo type="max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5"/>
    <col customWidth="1" min="3" max="3" width="21.63"/>
    <col customWidth="1" min="4" max="6" width="12.63"/>
  </cols>
  <sheetData>
    <row r="1" ht="15.75" customHeight="1">
      <c r="A1" s="23"/>
      <c r="B1" s="1" t="s">
        <v>2774</v>
      </c>
      <c r="C1" s="1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3"/>
      <c r="B2" s="1"/>
      <c r="C2" s="1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3" t="s">
        <v>2775</v>
      </c>
      <c r="B3" s="1" t="s">
        <v>2776</v>
      </c>
      <c r="C3" s="24" t="s">
        <v>2777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3">
        <v>1.0</v>
      </c>
      <c r="B4" s="1" t="s">
        <v>0</v>
      </c>
      <c r="C4" s="11" t="s">
        <v>2778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5">
        <v>2.0</v>
      </c>
      <c r="B5" s="24" t="s">
        <v>1</v>
      </c>
      <c r="C5" s="11" t="s">
        <v>2779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3">
        <v>3.0</v>
      </c>
      <c r="B6" s="24" t="s">
        <v>2</v>
      </c>
      <c r="C6" s="11" t="s">
        <v>2780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5">
        <v>4.0</v>
      </c>
      <c r="B7" s="1" t="s">
        <v>3</v>
      </c>
      <c r="C7" s="11" t="s">
        <v>2781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3">
        <v>5.0</v>
      </c>
      <c r="B8" s="24" t="s">
        <v>4</v>
      </c>
      <c r="C8" s="11" t="s">
        <v>2782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5">
        <v>6.0</v>
      </c>
      <c r="B9" s="1" t="s">
        <v>5</v>
      </c>
      <c r="C9" s="11" t="s">
        <v>2783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3">
        <v>7.0</v>
      </c>
      <c r="B10" s="1" t="s">
        <v>6</v>
      </c>
      <c r="C10" s="11" t="s">
        <v>2784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5">
        <v>8.0</v>
      </c>
      <c r="B11" s="1" t="s">
        <v>7</v>
      </c>
      <c r="C11" s="11" t="s">
        <v>2785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3">
        <v>9.0</v>
      </c>
      <c r="B12" s="1" t="s">
        <v>8</v>
      </c>
      <c r="C12" s="11" t="s">
        <v>2786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5">
        <v>10.0</v>
      </c>
      <c r="B13" s="1" t="s">
        <v>9</v>
      </c>
      <c r="C13" s="11" t="s">
        <v>2787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3">
        <v>11.0</v>
      </c>
      <c r="B14" s="1" t="s">
        <v>10</v>
      </c>
      <c r="C14" s="11" t="s">
        <v>2788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5">
        <v>12.0</v>
      </c>
      <c r="B15" s="2" t="s">
        <v>11</v>
      </c>
      <c r="C15" s="11" t="s">
        <v>2789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3">
        <v>13.0</v>
      </c>
      <c r="B16" s="1" t="s">
        <v>12</v>
      </c>
      <c r="C16" s="11" t="s">
        <v>2790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5">
        <v>14.0</v>
      </c>
      <c r="B17" s="24" t="s">
        <v>13</v>
      </c>
      <c r="C17" s="11" t="s">
        <v>2791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0"/>
  <cols>
    <col customWidth="1" min="1" max="2" width="23.88"/>
    <col customWidth="1" min="3" max="6" width="12.63"/>
  </cols>
  <sheetData>
    <row r="1" ht="15.75" customHeight="1">
      <c r="A1" s="26" t="s">
        <v>1</v>
      </c>
      <c r="B1" s="26" t="s">
        <v>2</v>
      </c>
      <c r="C1" s="26" t="s">
        <v>2792</v>
      </c>
    </row>
    <row r="2" ht="15.75" customHeight="1">
      <c r="A2" s="21" t="str">
        <f t="array" ref="A2">XLOOKUP(B2,city_to_region!$B$5:$B$96,city_to_region!$A$5:$A$96)</f>
        <v>г. Астана</v>
      </c>
      <c r="B2" s="21" t="s">
        <v>16</v>
      </c>
      <c r="C2" s="21">
        <v>11.5</v>
      </c>
    </row>
    <row r="3" ht="15.75" customHeight="1">
      <c r="A3" s="21" t="str">
        <f t="array" ref="A3">XLOOKUP(B3,city_to_region!$B$5:$B$96,city_to_region!$A$5:$A$96)</f>
        <v>Карагандинская</v>
      </c>
      <c r="B3" s="21" t="s">
        <v>2793</v>
      </c>
      <c r="C3" s="21">
        <v>10.2</v>
      </c>
    </row>
    <row r="4" ht="15.75" customHeight="1">
      <c r="A4" s="21" t="str">
        <f t="array" ref="A4">XLOOKUP(B4,city_to_region!$B$5:$B$96,city_to_region!$A$5:$A$96)</f>
        <v>Восточно-Казахстанская</v>
      </c>
      <c r="B4" s="21" t="s">
        <v>2794</v>
      </c>
      <c r="C4" s="21">
        <v>8.2</v>
      </c>
    </row>
    <row r="5" ht="15.75" customHeight="1">
      <c r="A5" s="21" t="str">
        <f t="array" ref="A5">XLOOKUP(B5,city_to_region!$B$5:$B$96,city_to_region!$A$5:$A$96)</f>
        <v>г. Шымкент</v>
      </c>
      <c r="B5" s="21" t="s">
        <v>2594</v>
      </c>
      <c r="C5" s="21">
        <v>7.5</v>
      </c>
    </row>
    <row r="6" ht="15.75" customHeight="1">
      <c r="A6" s="21" t="str">
        <f t="array" ref="A6">XLOOKUP(B6,city_to_region!$B$5:$B$96,city_to_region!$A$5:$A$96)</f>
        <v>Область Улытау</v>
      </c>
      <c r="B6" s="21" t="s">
        <v>2795</v>
      </c>
      <c r="C6" s="21">
        <v>6.8</v>
      </c>
    </row>
    <row r="7" ht="15.75" customHeight="1">
      <c r="A7" s="21" t="str">
        <f t="array" ref="A7">XLOOKUP(B7,city_to_region!$B$5:$B$96,city_to_region!$A$5:$A$96)</f>
        <v>Акмолинская</v>
      </c>
      <c r="B7" s="21" t="s">
        <v>2796</v>
      </c>
      <c r="C7" s="21">
        <v>6.5</v>
      </c>
    </row>
    <row r="8" ht="15.75" customHeight="1">
      <c r="A8" s="21" t="str">
        <f t="array" ref="A8">XLOOKUP(B8,city_to_region!$B$5:$B$96,city_to_region!$A$5:$A$96)</f>
        <v>Акмолинская</v>
      </c>
      <c r="B8" s="21" t="s">
        <v>2797</v>
      </c>
      <c r="C8" s="21">
        <v>6.3</v>
      </c>
    </row>
    <row r="9" ht="15.75" customHeight="1">
      <c r="A9" s="21" t="str">
        <f t="array" ref="A9">XLOOKUP(B9,city_to_region!$B$5:$B$96,city_to_region!$A$5:$A$96)</f>
        <v>г. Алматы</v>
      </c>
      <c r="B9" s="21" t="s">
        <v>2798</v>
      </c>
      <c r="C9" s="21">
        <v>6.0</v>
      </c>
    </row>
    <row r="10" ht="15.75" customHeight="1">
      <c r="A10" s="21" t="str">
        <f t="array" ref="A10">XLOOKUP(B10,city_to_region!$B$5:$B$96,city_to_region!$A$5:$A$96)</f>
        <v>Туркестанская</v>
      </c>
      <c r="B10" s="21" t="s">
        <v>2799</v>
      </c>
      <c r="C10" s="21">
        <v>5.2</v>
      </c>
    </row>
    <row r="11" ht="15.75" customHeight="1">
      <c r="A11" s="21" t="str">
        <f t="array" ref="A11">XLOOKUP(B11,city_to_region!$B$5:$B$96,city_to_region!$A$5:$A$96)</f>
        <v>Костанайская</v>
      </c>
      <c r="B11" s="21" t="s">
        <v>2800</v>
      </c>
      <c r="C11" s="21">
        <v>5.0</v>
      </c>
    </row>
    <row r="12" ht="15.75" customHeight="1">
      <c r="A12" s="21" t="str">
        <f t="array" ref="A12">XLOOKUP(B12,city_to_region!$B$5:$B$96,city_to_region!$A$5:$A$96)</f>
        <v>Жамбылская</v>
      </c>
      <c r="B12" s="21" t="s">
        <v>2801</v>
      </c>
      <c r="C12" s="21">
        <v>4.7</v>
      </c>
    </row>
    <row r="13" ht="15.75" customHeight="1">
      <c r="A13" s="21" t="str">
        <f t="array" ref="A13">XLOOKUP(B13,city_to_region!$B$5:$B$96,city_to_region!$A$5:$A$96)</f>
        <v>Мангыстауская</v>
      </c>
      <c r="B13" s="21" t="s">
        <v>2802</v>
      </c>
      <c r="C13" s="21">
        <v>4.2</v>
      </c>
    </row>
    <row r="14" ht="15.75" customHeight="1">
      <c r="A14" s="21" t="str">
        <f t="array" ref="A14">XLOOKUP(B14,city_to_region!$B$5:$B$96,city_to_region!$A$5:$A$96)</f>
        <v>Северо-Казахстанская</v>
      </c>
      <c r="B14" s="21" t="s">
        <v>2803</v>
      </c>
      <c r="C14" s="21">
        <v>3.8</v>
      </c>
    </row>
    <row r="15" ht="15.75" customHeight="1">
      <c r="A15" s="21" t="str">
        <f t="array" ref="A15">XLOOKUP(B15,city_to_region!$B$5:$B$96,city_to_region!$A$5:$A$96)</f>
        <v>Область Абай</v>
      </c>
      <c r="B15" s="21" t="s">
        <v>2804</v>
      </c>
      <c r="C15" s="21">
        <v>3.7</v>
      </c>
    </row>
    <row r="16" ht="15.75" customHeight="1">
      <c r="A16" s="21" t="str">
        <f t="array" ref="A16">XLOOKUP(B16,city_to_region!$B$5:$B$96,city_to_region!$A$5:$A$96)</f>
        <v>Кызылординская</v>
      </c>
      <c r="B16" s="21" t="s">
        <v>2805</v>
      </c>
      <c r="C16" s="21">
        <v>3.5</v>
      </c>
    </row>
    <row r="17" ht="15.75" customHeight="1">
      <c r="A17" s="21" t="str">
        <f t="array" ref="A17">XLOOKUP(B17,city_to_region!$B$5:$B$96,city_to_region!$A$5:$A$96)</f>
        <v>Павлодарская</v>
      </c>
      <c r="B17" s="21" t="s">
        <v>2806</v>
      </c>
      <c r="C17" s="21">
        <v>3.4</v>
      </c>
    </row>
    <row r="18" ht="15.75" customHeight="1">
      <c r="A18" s="21" t="str">
        <f t="array" ref="A18">XLOOKUP(B18,city_to_region!$B$5:$B$96,city_to_region!$A$5:$A$96)</f>
        <v>Область Жетысу</v>
      </c>
      <c r="B18" s="21" t="s">
        <v>2807</v>
      </c>
      <c r="C18" s="21">
        <v>3.3</v>
      </c>
    </row>
    <row r="19" ht="15.75" customHeight="1">
      <c r="A19" s="21" t="str">
        <f t="array" ref="A19">XLOOKUP(B19,city_to_region!$B$5:$B$96,city_to_region!$A$5:$A$96)</f>
        <v>Мангыстауская</v>
      </c>
      <c r="B19" s="21" t="s">
        <v>2808</v>
      </c>
      <c r="C19" s="21">
        <v>3.2</v>
      </c>
    </row>
    <row r="20" ht="15.75" customHeight="1">
      <c r="A20" s="21" t="str">
        <f t="array" ref="A20">XLOOKUP(B20,city_to_region!$B$5:$B$96,city_to_region!$A$5:$A$96)</f>
        <v>Жамбылская</v>
      </c>
      <c r="B20" s="21" t="s">
        <v>2809</v>
      </c>
      <c r="C20" s="21">
        <v>3.1</v>
      </c>
    </row>
    <row r="21" ht="15.75" customHeight="1">
      <c r="A21" s="21" t="str">
        <f t="array" ref="A21">XLOOKUP(B21,city_to_region!$B$5:$B$96,city_to_region!$A$5:$A$96)</f>
        <v>Восточно-Казахстанская</v>
      </c>
      <c r="B21" s="21" t="s">
        <v>2810</v>
      </c>
      <c r="C21" s="21">
        <v>3.0</v>
      </c>
    </row>
    <row r="22" ht="15.75" customHeight="1">
      <c r="A22" s="21" t="str">
        <f t="array" ref="A22">XLOOKUP(B22,city_to_region!$B$5:$B$96,city_to_region!$A$5:$A$96)</f>
        <v>Жамбылская</v>
      </c>
      <c r="B22" s="21" t="s">
        <v>2811</v>
      </c>
      <c r="C22" s="21">
        <v>2.9</v>
      </c>
    </row>
    <row r="23" ht="15.75" customHeight="1">
      <c r="A23" s="21" t="str">
        <f t="array" ref="A23">XLOOKUP(B23,city_to_region!$B$5:$B$96,city_to_region!$A$5:$A$96)</f>
        <v>Восточно-Казахстанская</v>
      </c>
      <c r="B23" s="21" t="s">
        <v>2812</v>
      </c>
      <c r="C23" s="21">
        <v>2.8</v>
      </c>
    </row>
    <row r="24" ht="15.75" customHeight="1">
      <c r="A24" s="21" t="str">
        <f t="array" ref="A24">XLOOKUP(B24,city_to_region!$B$5:$B$96,city_to_region!$A$5:$A$96)</f>
        <v>Атырауская</v>
      </c>
      <c r="B24" s="21" t="s">
        <v>37</v>
      </c>
      <c r="C24" s="21">
        <v>2.7</v>
      </c>
    </row>
    <row r="25" ht="15.75" customHeight="1">
      <c r="A25" s="21" t="str">
        <f t="array" ref="A25">XLOOKUP(B25,city_to_region!$B$5:$B$96,city_to_region!$A$5:$A$96)</f>
        <v>Жамбылская</v>
      </c>
      <c r="B25" s="21" t="s">
        <v>2813</v>
      </c>
      <c r="C25" s="21">
        <v>2.6</v>
      </c>
    </row>
    <row r="26" ht="15.75" customHeight="1">
      <c r="A26" s="21" t="str">
        <f t="array" ref="A26">XLOOKUP(B26,city_to_region!$B$5:$B$96,city_to_region!$A$5:$A$96)</f>
        <v>Костанайская</v>
      </c>
      <c r="B26" s="21" t="s">
        <v>2814</v>
      </c>
      <c r="C26" s="21">
        <v>2.5</v>
      </c>
    </row>
    <row r="27" ht="15.75" customHeight="1">
      <c r="A27" s="21" t="str">
        <f t="array" ref="A27">XLOOKUP(B27,city_to_region!$B$5:$B$96,city_to_region!$A$5:$A$96)</f>
        <v>Актюбинская</v>
      </c>
      <c r="B27" s="21" t="s">
        <v>1247</v>
      </c>
      <c r="C27" s="21">
        <v>2.5</v>
      </c>
    </row>
    <row r="28" ht="15.75" customHeight="1">
      <c r="A28" s="21" t="str">
        <f t="array" ref="A28">XLOOKUP(B28,city_to_region!$B$5:$B$96,city_to_region!$A$5:$A$96)</f>
        <v>Акмолинская</v>
      </c>
      <c r="B28" s="21" t="s">
        <v>2815</v>
      </c>
      <c r="C28" s="21">
        <v>2.4</v>
      </c>
    </row>
    <row r="29" ht="15.75" customHeight="1">
      <c r="A29" s="21" t="str">
        <f t="array" ref="A29">XLOOKUP(B29,city_to_region!$B$5:$B$96,city_to_region!$A$5:$A$96)</f>
        <v>Акмолинская</v>
      </c>
      <c r="B29" s="21" t="s">
        <v>2816</v>
      </c>
      <c r="C29" s="21">
        <v>2.4</v>
      </c>
    </row>
    <row r="30" ht="15.75" customHeight="1">
      <c r="A30" s="21" t="str">
        <f t="array" ref="A30">XLOOKUP(B30,city_to_region!$B$5:$B$96,city_to_region!$A$5:$A$96)</f>
        <v>Карагандинская</v>
      </c>
      <c r="B30" s="21" t="s">
        <v>2817</v>
      </c>
      <c r="C30" s="21">
        <v>2.3</v>
      </c>
    </row>
    <row r="31" ht="15.75" customHeight="1">
      <c r="A31" s="21" t="str">
        <f t="array" ref="A31">XLOOKUP(B31,city_to_region!$B$5:$B$96,city_to_region!$A$5:$A$96)</f>
        <v>Атырауская</v>
      </c>
      <c r="B31" s="21" t="s">
        <v>2818</v>
      </c>
      <c r="C31" s="21">
        <v>2.0</v>
      </c>
    </row>
    <row r="32" ht="15.75" customHeight="1">
      <c r="A32" s="21" t="str">
        <f t="array" ref="A32">XLOOKUP(B32,city_to_region!$B$5:$B$96,city_to_region!$A$5:$A$96)</f>
        <v>Акмолинская</v>
      </c>
      <c r="B32" s="21" t="s">
        <v>2819</v>
      </c>
      <c r="C32" s="21">
        <v>1.9</v>
      </c>
    </row>
    <row r="33" ht="15.75" customHeight="1">
      <c r="A33" s="21" t="str">
        <f t="array" ref="A33">XLOOKUP(B33,city_to_region!$B$5:$B$96,city_to_region!$A$5:$A$96)</f>
        <v>Акмолинская</v>
      </c>
      <c r="B33" s="21" t="s">
        <v>2820</v>
      </c>
      <c r="C33" s="21">
        <v>1.8</v>
      </c>
    </row>
    <row r="34" ht="15.75" customHeight="1">
      <c r="A34" s="21" t="str">
        <f t="array" ref="A34">XLOOKUP(B34,city_to_region!$B$5:$B$96,city_to_region!$A$5:$A$96)</f>
        <v>Павлодарская</v>
      </c>
      <c r="B34" s="21" t="s">
        <v>2821</v>
      </c>
      <c r="C34" s="21">
        <v>1.8</v>
      </c>
    </row>
    <row r="35" ht="15.75" customHeight="1">
      <c r="A35" s="21" t="str">
        <f t="array" ref="A35">XLOOKUP(B35,city_to_region!$B$5:$B$96,city_to_region!$A$5:$A$96)</f>
        <v>Акмолинская</v>
      </c>
      <c r="B35" s="21" t="s">
        <v>2822</v>
      </c>
      <c r="C35" s="21">
        <v>1.7</v>
      </c>
    </row>
    <row r="36" ht="15.75" customHeight="1">
      <c r="A36" s="21" t="str">
        <f t="array" ref="A36">XLOOKUP(B36,city_to_region!$B$5:$B$96,city_to_region!$A$5:$A$96)</f>
        <v>Западно-Казахстанская</v>
      </c>
      <c r="B36" s="21" t="s">
        <v>2823</v>
      </c>
      <c r="C36" s="21">
        <v>1.6</v>
      </c>
    </row>
    <row r="37" ht="15.75" customHeight="1">
      <c r="A37" s="21" t="str">
        <f t="array" ref="A37">XLOOKUP(B37,city_to_region!$B$5:$B$96,city_to_region!$A$5:$A$96)</f>
        <v>Кызылординская</v>
      </c>
      <c r="B37" s="21" t="s">
        <v>2824</v>
      </c>
      <c r="C37" s="21">
        <v>1.4</v>
      </c>
    </row>
    <row r="38" ht="15.75" customHeight="1">
      <c r="A38" s="21" t="str">
        <f t="array" ref="A38">XLOOKUP(B38,city_to_region!$B$5:$B$96,city_to_region!$A$5:$A$96)</f>
        <v>Кызылординская</v>
      </c>
      <c r="B38" s="21" t="s">
        <v>2825</v>
      </c>
      <c r="C38" s="21">
        <v>1.3</v>
      </c>
    </row>
    <row r="39" ht="15.75" customHeight="1">
      <c r="A39" s="21" t="str">
        <f t="array" ref="A39">XLOOKUP(B39,city_to_region!$B$5:$B$96,city_to_region!$A$5:$A$96)</f>
        <v>Павлодарская</v>
      </c>
      <c r="B39" s="21" t="s">
        <v>2826</v>
      </c>
      <c r="C39" s="21">
        <v>1.1</v>
      </c>
    </row>
    <row r="40" ht="15.75" customHeight="1">
      <c r="A40" s="21" t="str">
        <f t="array" ref="A40">XLOOKUP(B40,city_to_region!$B$5:$B$96,city_to_region!$A$5:$A$96)</f>
        <v>Костанайская</v>
      </c>
      <c r="B40" s="21" t="s">
        <v>2827</v>
      </c>
      <c r="C40" s="21">
        <v>1.0</v>
      </c>
    </row>
    <row r="41" ht="15.75" customHeight="1">
      <c r="A41" s="21" t="str">
        <f t="array" ref="A41">XLOOKUP(B41,city_to_region!$B$5:$B$96,city_to_region!$A$5:$A$96)</f>
        <v>Алматинская</v>
      </c>
      <c r="B41" s="21" t="s">
        <v>2828</v>
      </c>
      <c r="C41" s="21">
        <v>0.9</v>
      </c>
    </row>
    <row r="42" ht="15.75" customHeight="1">
      <c r="A42" s="21" t="str">
        <f t="array" ref="A42">XLOOKUP(B42,city_to_region!$B$5:$B$96,city_to_region!$A$5:$A$96)</f>
        <v>Мангыстауская</v>
      </c>
      <c r="B42" s="21" t="s">
        <v>2829</v>
      </c>
      <c r="C42" s="21">
        <v>0.8</v>
      </c>
    </row>
    <row r="43" ht="15.75" customHeight="1">
      <c r="A43" s="21" t="str">
        <f t="array" ref="A43">XLOOKUP(B43,city_to_region!$B$5:$B$96,city_to_region!$A$5:$A$96)</f>
        <v>Костанайская</v>
      </c>
      <c r="B43" s="21" t="s">
        <v>2830</v>
      </c>
      <c r="C43" s="21">
        <v>0.7</v>
      </c>
    </row>
    <row r="44" ht="15.75" customHeight="1">
      <c r="A44" s="21" t="str">
        <f t="array" ref="A44">XLOOKUP(B44,city_to_region!$B$5:$B$96,city_to_region!$A$5:$A$96)</f>
        <v>Актюбинская</v>
      </c>
      <c r="B44" s="21" t="s">
        <v>2831</v>
      </c>
      <c r="C44" s="21">
        <v>0.6</v>
      </c>
    </row>
    <row r="45" ht="15.75" customHeight="1">
      <c r="A45" s="21" t="str">
        <f t="array" ref="A45">XLOOKUP(B45,city_to_region!$B$5:$B$96,city_to_region!$A$5:$A$96)</f>
        <v>Область Жетысу</v>
      </c>
      <c r="B45" s="21" t="s">
        <v>2832</v>
      </c>
      <c r="C45" s="21">
        <v>0.5</v>
      </c>
    </row>
    <row r="46" ht="15.75" customHeight="1">
      <c r="A46" s="21" t="str">
        <f t="array" ref="A46">XLOOKUP(B46,city_to_region!$B$5:$B$96,city_to_region!$A$5:$A$96)</f>
        <v>Восточно-Казахстанская</v>
      </c>
      <c r="B46" s="21" t="s">
        <v>2833</v>
      </c>
      <c r="C46" s="21">
        <v>0.5</v>
      </c>
    </row>
    <row r="47" ht="15.75" customHeight="1">
      <c r="A47" s="21" t="str">
        <f t="array" ref="A47">XLOOKUP(B47,city_to_region!$B$5:$B$96,city_to_region!$A$5:$A$96)</f>
        <v>Актюбинская</v>
      </c>
      <c r="B47" s="21" t="s">
        <v>2834</v>
      </c>
      <c r="C47" s="21">
        <v>0.4</v>
      </c>
    </row>
    <row r="48" ht="15.75" customHeight="1">
      <c r="A48" s="21" t="str">
        <f t="array" ref="A48">XLOOKUP(B48,city_to_region!$B$5:$B$96,city_to_region!$A$5:$A$96)</f>
        <v>Атырауская</v>
      </c>
      <c r="B48" s="21" t="s">
        <v>2835</v>
      </c>
      <c r="C48" s="21">
        <v>0.4</v>
      </c>
    </row>
    <row r="49" ht="15.75" customHeight="1">
      <c r="A49" s="21" t="str">
        <f t="array" ref="A49">XLOOKUP(B49,city_to_region!$B$5:$B$96,city_to_region!$A$5:$A$96)</f>
        <v>Западно-Казахстанская</v>
      </c>
      <c r="B49" s="21" t="s">
        <v>2836</v>
      </c>
      <c r="C49" s="21">
        <v>0.3</v>
      </c>
    </row>
    <row r="50" ht="15.75" customHeight="1">
      <c r="A50" s="21" t="str">
        <f t="array" ref="A50">XLOOKUP(B50,city_to_region!$B$5:$B$96,city_to_region!$A$5:$A$96)</f>
        <v>Кызылординская</v>
      </c>
      <c r="B50" s="21" t="s">
        <v>2837</v>
      </c>
      <c r="C50" s="21">
        <v>0.3</v>
      </c>
    </row>
    <row r="51" ht="15.75" customHeight="1">
      <c r="A51" s="21" t="str">
        <f t="array" ref="A51">XLOOKUP(B51,city_to_region!$B$2:$B$96,city_to_region!$A$2:$A$96)</f>
        <v>Область Абай</v>
      </c>
      <c r="B51" s="21" t="s">
        <v>2838</v>
      </c>
      <c r="C51" s="21">
        <v>0.3</v>
      </c>
    </row>
    <row r="52" ht="15.75" customHeight="1">
      <c r="A52" s="21" t="str">
        <f t="array" ref="A52">XLOOKUP(B52,city_to_region!$B$5:$B$96,city_to_region!$A$5:$A$96)</f>
        <v>Область Улытау</v>
      </c>
      <c r="B52" s="21" t="s">
        <v>2588</v>
      </c>
      <c r="C52" s="21">
        <v>0.2</v>
      </c>
    </row>
    <row r="53" ht="15.75" customHeight="1">
      <c r="A53" s="21" t="str">
        <f t="array" ref="A53">XLOOKUP(B53,city_to_region!$B$5:$B$96,city_to_region!$A$5:$A$96)</f>
        <v>Актюбинская</v>
      </c>
      <c r="B53" s="21" t="s">
        <v>1284</v>
      </c>
      <c r="C53" s="21">
        <v>0.2</v>
      </c>
    </row>
    <row r="54" ht="15.75" customHeight="1">
      <c r="A54" s="21" t="str">
        <f t="array" ref="A54">XLOOKUP(B54,city_to_region!$B$5:$B$96,city_to_region!$A$5:$A$96)</f>
        <v>Атырауская</v>
      </c>
      <c r="B54" s="21" t="s">
        <v>2839</v>
      </c>
      <c r="C54" s="21">
        <v>0.2</v>
      </c>
    </row>
    <row r="55" ht="15.75" customHeight="1">
      <c r="A55" s="21" t="str">
        <f t="array" ref="A55">XLOOKUP(B55,city_to_region!$B$5:$B$96,city_to_region!$A$5:$A$96)</f>
        <v>Актюбинская</v>
      </c>
      <c r="B55" s="21" t="s">
        <v>2840</v>
      </c>
      <c r="C55" s="21">
        <v>0.2</v>
      </c>
    </row>
    <row r="56" ht="15.75" customHeight="1">
      <c r="A56" s="21" t="str">
        <f t="array" ref="A56">XLOOKUP(B56,city_to_region!$B$2:$B$96,city_to_region!$A$2:$A$96)</f>
        <v>Область Абай</v>
      </c>
      <c r="B56" s="21" t="s">
        <v>2841</v>
      </c>
      <c r="C56" s="21">
        <v>0.1</v>
      </c>
    </row>
    <row r="57" ht="15.75" customHeight="1">
      <c r="A57" s="21" t="str">
        <f t="array" ref="A57">XLOOKUP(B57,city_to_region!$B$5:$B$96,city_to_region!$A$5:$A$96)</f>
        <v>Атырауская</v>
      </c>
      <c r="B57" s="21" t="s">
        <v>2842</v>
      </c>
      <c r="C57" s="21">
        <v>0.1</v>
      </c>
    </row>
    <row r="58" ht="15.75" customHeight="1">
      <c r="A58" s="21" t="str">
        <f t="array" ref="A58">XLOOKUP(B58,city_to_region!$B$5:$B$96,city_to_region!$A$5:$A$96)</f>
        <v>Западно-Казахстанская</v>
      </c>
      <c r="B58" s="21" t="s">
        <v>2843</v>
      </c>
      <c r="C58" s="21">
        <v>0.1</v>
      </c>
    </row>
    <row r="59" ht="15.75" customHeight="1">
      <c r="A59" s="21" t="str">
        <f t="array" ref="A59">XLOOKUP(B59,city_to_region!$B$5:$B$96,city_to_region!$A$5:$A$96)</f>
        <v>Костанайская</v>
      </c>
      <c r="B59" s="21" t="s">
        <v>2844</v>
      </c>
      <c r="C59" s="21">
        <v>0.1</v>
      </c>
    </row>
    <row r="60" ht="15.75" customHeight="1">
      <c r="A60" s="21" t="str">
        <f t="array" ref="A60">XLOOKUP(B60,city_to_region!$B$5:$B$96,city_to_region!$A$5:$A$96)</f>
        <v>Атырауская</v>
      </c>
      <c r="B60" s="21" t="s">
        <v>2845</v>
      </c>
      <c r="C60" s="21">
        <v>0.1</v>
      </c>
    </row>
    <row r="61" ht="15.75" customHeight="1">
      <c r="A61" s="21" t="str">
        <f t="array" ref="A61">XLOOKUP(B61,city_to_region!$B$5:$B$96,city_to_region!$A$5:$A$96)</f>
        <v>Костанайская</v>
      </c>
      <c r="B61" s="21" t="s">
        <v>2846</v>
      </c>
      <c r="C61" s="21">
        <v>0.1</v>
      </c>
    </row>
    <row r="62" ht="15.75" customHeight="1">
      <c r="A62" s="21" t="str">
        <f t="array" ref="A62">XLOOKUP(B62,city_to_region!$B$5:$B$96,city_to_region!$A$5:$A$96)</f>
        <v>Восточно-Казахстанская</v>
      </c>
      <c r="B62" s="21" t="s">
        <v>2847</v>
      </c>
      <c r="C62" s="21">
        <v>0.1</v>
      </c>
    </row>
    <row r="63" ht="15.75" customHeight="1">
      <c r="A63" s="21" t="str">
        <f t="array" ref="A63">XLOOKUP(B63,city_to_region!$B$5:$B$96,city_to_region!$A$5:$A$96)</f>
        <v>Кызылординская</v>
      </c>
      <c r="B63" s="21" t="s">
        <v>2848</v>
      </c>
      <c r="C63" s="21">
        <v>0.1</v>
      </c>
    </row>
    <row r="64" ht="15.75" customHeight="1">
      <c r="A64" s="21" t="str">
        <f t="array" ref="A64">XLOOKUP(B64,city_to_region!$B$5:$B$96,city_to_region!$A$5:$A$96)</f>
        <v>Жамбылская</v>
      </c>
      <c r="B64" s="21" t="s">
        <v>2849</v>
      </c>
      <c r="C64" s="21">
        <v>0.1</v>
      </c>
    </row>
    <row r="65" ht="15.75" customHeight="1">
      <c r="A65" s="21" t="str">
        <f t="array" ref="A65">XLOOKUP(B65,city_to_region!$B$5:$B$96,city_to_region!$A$5:$A$96)</f>
        <v>Кызылординская</v>
      </c>
      <c r="B65" s="21" t="s">
        <v>2850</v>
      </c>
      <c r="C65" s="21">
        <v>0.1</v>
      </c>
    </row>
    <row r="66" ht="15.75" customHeight="1">
      <c r="A66" s="21" t="str">
        <f t="array" ref="A66">XLOOKUP(B66,city_to_region!$B$5:$B$96,city_to_region!$A$5:$A$96)</f>
        <v>Карагандинская</v>
      </c>
      <c r="B66" s="21" t="s">
        <v>2851</v>
      </c>
      <c r="C66" s="21">
        <v>0.1</v>
      </c>
    </row>
    <row r="67" ht="15.75" customHeight="1">
      <c r="A67" s="21" t="str">
        <f t="array" ref="A67">XLOOKUP(B67,city_to_region!$B$2:$B$96,city_to_region!$A$2:$A$96)</f>
        <v>Область Абай</v>
      </c>
      <c r="B67" s="21" t="s">
        <v>2852</v>
      </c>
      <c r="C67" s="21">
        <v>0.1</v>
      </c>
    </row>
    <row r="68" ht="15.75" customHeight="1">
      <c r="A68" s="21" t="str">
        <f t="array" ref="A68">XLOOKUP(B68,city_to_region!$B$5:$B$96,city_to_region!$A$5:$A$96)</f>
        <v>Мангыстауская</v>
      </c>
      <c r="B68" s="21" t="s">
        <v>2853</v>
      </c>
      <c r="C68" s="21">
        <v>0.1</v>
      </c>
    </row>
    <row r="69" ht="15.75" customHeight="1">
      <c r="A69" s="21" t="str">
        <f t="array" ref="A69">XLOOKUP(B69,city_to_region!$B$5:$B$96,city_to_region!$A$5:$A$96)</f>
        <v>Туркестанская</v>
      </c>
      <c r="B69" s="21" t="s">
        <v>2854</v>
      </c>
      <c r="C69" s="21">
        <v>0.1</v>
      </c>
    </row>
    <row r="70" ht="15.75" customHeight="1">
      <c r="A70" s="21" t="str">
        <f t="array" ref="A70">XLOOKUP(B70,city_to_region!$B$5:$B$96,city_to_region!$A$5:$A$96)</f>
        <v>Туркестанская</v>
      </c>
      <c r="B70" s="21" t="s">
        <v>2855</v>
      </c>
      <c r="C70" s="21">
        <v>0.1</v>
      </c>
    </row>
    <row r="71" ht="15.75" customHeight="1">
      <c r="A71" s="21" t="str">
        <f t="array" ref="A71">XLOOKUP(B71,city_to_region!$B$5:$B$96,city_to_region!$A$5:$A$96)</f>
        <v>Акмолинская</v>
      </c>
      <c r="B71" s="21" t="s">
        <v>2856</v>
      </c>
      <c r="C71" s="21">
        <v>0.1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75"/>
    <col customWidth="1" min="2" max="2" width="16.88"/>
    <col customWidth="1" min="3" max="3" width="12.63"/>
    <col customWidth="1" min="4" max="4" width="21.75"/>
    <col customWidth="1" min="5" max="5" width="16.88"/>
    <col customWidth="1" min="6" max="6" width="12.63"/>
    <col customWidth="1" min="7" max="7" width="14.63"/>
  </cols>
  <sheetData>
    <row r="1" ht="15.75" customHeight="1">
      <c r="A1" s="21" t="s">
        <v>1</v>
      </c>
      <c r="B1" s="21" t="s">
        <v>2857</v>
      </c>
      <c r="D1" s="21" t="s">
        <v>1</v>
      </c>
      <c r="E1" s="21" t="s">
        <v>2857</v>
      </c>
    </row>
    <row r="2" ht="15.75" customHeight="1">
      <c r="A2" s="21" t="s">
        <v>16</v>
      </c>
      <c r="B2" s="21">
        <v>11.5</v>
      </c>
      <c r="D2" s="21" t="s">
        <v>16</v>
      </c>
      <c r="E2" s="21">
        <v>11.5</v>
      </c>
    </row>
    <row r="3" ht="15.75" customHeight="1">
      <c r="A3" s="21" t="s">
        <v>2594</v>
      </c>
      <c r="B3" s="21">
        <v>7.5</v>
      </c>
      <c r="D3" s="21" t="s">
        <v>2594</v>
      </c>
      <c r="E3" s="21">
        <v>7.5</v>
      </c>
    </row>
    <row r="4" ht="15.75" customHeight="1">
      <c r="A4" s="21" t="s">
        <v>2798</v>
      </c>
      <c r="B4" s="21">
        <v>6.0</v>
      </c>
      <c r="D4" s="21" t="s">
        <v>2798</v>
      </c>
      <c r="E4" s="21">
        <v>6.0</v>
      </c>
    </row>
    <row r="5" ht="15.75" customHeight="1">
      <c r="A5" s="21" t="s">
        <v>2858</v>
      </c>
      <c r="B5" s="21">
        <v>3.8</v>
      </c>
      <c r="D5" s="21" t="s">
        <v>2858</v>
      </c>
      <c r="E5" s="21">
        <v>3.8</v>
      </c>
    </row>
    <row r="6" ht="15.75" customHeight="1">
      <c r="A6" s="21" t="s">
        <v>2770</v>
      </c>
      <c r="B6" s="21">
        <v>3.5</v>
      </c>
      <c r="D6" s="21" t="s">
        <v>2770</v>
      </c>
      <c r="E6" s="21">
        <v>3.5</v>
      </c>
    </row>
    <row r="7" ht="15.75" customHeight="1">
      <c r="A7" s="21" t="s">
        <v>2859</v>
      </c>
      <c r="B7" s="21">
        <v>2.9</v>
      </c>
    </row>
    <row r="8" ht="15.75" customHeight="1">
      <c r="A8" s="21" t="s">
        <v>2860</v>
      </c>
      <c r="B8" s="21">
        <v>2.8</v>
      </c>
    </row>
    <row r="9" ht="15.75" customHeight="1">
      <c r="A9" s="21" t="s">
        <v>2769</v>
      </c>
      <c r="B9" s="21">
        <v>2.3</v>
      </c>
      <c r="D9" s="21" t="s">
        <v>2861</v>
      </c>
    </row>
    <row r="10" ht="15.75" customHeight="1">
      <c r="A10" s="21" t="s">
        <v>2862</v>
      </c>
      <c r="B10" s="21">
        <v>2.15</v>
      </c>
    </row>
    <row r="11" ht="15.75" customHeight="1">
      <c r="A11" s="21" t="s">
        <v>2863</v>
      </c>
      <c r="B11" s="21">
        <v>2.0</v>
      </c>
      <c r="D11" s="27" t="s">
        <v>2864</v>
      </c>
    </row>
    <row r="12" ht="15.75" customHeight="1">
      <c r="A12" s="21" t="s">
        <v>2865</v>
      </c>
      <c r="B12" s="21">
        <v>1.9</v>
      </c>
      <c r="D12" s="26" t="s">
        <v>1</v>
      </c>
      <c r="E12" s="26" t="s">
        <v>2764</v>
      </c>
      <c r="F12" s="26" t="s">
        <v>2765</v>
      </c>
      <c r="G12" s="26" t="s">
        <v>2766</v>
      </c>
    </row>
    <row r="13" ht="15.75" customHeight="1">
      <c r="A13" s="21" t="s">
        <v>2866</v>
      </c>
      <c r="B13" s="21">
        <v>1.8</v>
      </c>
      <c r="D13" s="21" t="s">
        <v>2594</v>
      </c>
      <c r="E13" s="22">
        <v>0.046511627906976744</v>
      </c>
      <c r="F13" s="21">
        <v>51.400000000000006</v>
      </c>
      <c r="G13" s="21">
        <v>185.8</v>
      </c>
    </row>
    <row r="14" ht="15.75" customHeight="1">
      <c r="A14" s="21" t="s">
        <v>2867</v>
      </c>
      <c r="B14" s="21">
        <v>0.9</v>
      </c>
      <c r="D14" s="21" t="s">
        <v>2767</v>
      </c>
      <c r="E14" s="22">
        <v>0.5031712473572939</v>
      </c>
      <c r="F14" s="21">
        <v>15.4</v>
      </c>
      <c r="G14" s="21">
        <v>87.1</v>
      </c>
    </row>
    <row r="15" ht="15.75" customHeight="1">
      <c r="A15" s="21" t="s">
        <v>2868</v>
      </c>
      <c r="B15" s="21">
        <v>0.85</v>
      </c>
      <c r="D15" s="21" t="s">
        <v>2768</v>
      </c>
      <c r="E15" s="22">
        <v>0.023255813953488372</v>
      </c>
      <c r="F15" s="21">
        <v>12.3</v>
      </c>
      <c r="G15" s="21">
        <v>21.3</v>
      </c>
    </row>
    <row r="16" ht="15.75" customHeight="1">
      <c r="A16" s="21" t="s">
        <v>2869</v>
      </c>
      <c r="B16" s="21">
        <v>0.8</v>
      </c>
      <c r="D16" s="21" t="s">
        <v>2769</v>
      </c>
      <c r="E16" s="22">
        <v>0.4186046511627907</v>
      </c>
      <c r="F16" s="21">
        <v>12.1</v>
      </c>
      <c r="G16" s="21">
        <v>26.6</v>
      </c>
    </row>
    <row r="17" ht="15.75" customHeight="1">
      <c r="A17" s="21" t="s">
        <v>2768</v>
      </c>
      <c r="B17" s="21">
        <v>0.4</v>
      </c>
      <c r="D17" s="21" t="s">
        <v>16</v>
      </c>
      <c r="E17" s="22">
        <v>0.006342494714587738</v>
      </c>
      <c r="F17" s="21">
        <v>10.9</v>
      </c>
      <c r="G17" s="21">
        <v>11.3</v>
      </c>
    </row>
    <row r="18" ht="15.75" customHeight="1">
      <c r="A18" s="21" t="s">
        <v>2870</v>
      </c>
      <c r="B18" s="21">
        <v>0.3</v>
      </c>
      <c r="D18" s="21" t="s">
        <v>2770</v>
      </c>
      <c r="E18" s="22">
        <v>0.0021141649048625794</v>
      </c>
      <c r="F18" s="21">
        <v>10.0</v>
      </c>
      <c r="G18" s="21">
        <v>10.0</v>
      </c>
    </row>
    <row r="19" ht="15.75" customHeight="1">
      <c r="A19" s="21" t="s">
        <v>2767</v>
      </c>
      <c r="B19" s="21">
        <v>0.30000000000000004</v>
      </c>
    </row>
    <row r="20" ht="15.75" customHeight="1">
      <c r="A20" s="21" t="s">
        <v>2871</v>
      </c>
      <c r="B20" s="21">
        <v>0.2</v>
      </c>
      <c r="D20" s="21" t="s">
        <v>2872</v>
      </c>
    </row>
    <row r="21" ht="15.75" customHeight="1">
      <c r="A21" s="21" t="s">
        <v>2873</v>
      </c>
      <c r="B21" s="21">
        <v>0.1</v>
      </c>
      <c r="D21" s="28" t="s">
        <v>2874</v>
      </c>
    </row>
    <row r="22" ht="15.75" customHeight="1">
      <c r="D22" s="28" t="s">
        <v>2875</v>
      </c>
    </row>
    <row r="23" ht="15.75" customHeight="1">
      <c r="D23" s="28" t="s">
        <v>2876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 E1:E10 E19:E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11:F18 J8:Z10 N3:Z9">
    <cfRule type="colorScale" priority="2">
      <colorScale>
        <cfvo type="min"/>
        <cfvo type="max"/>
        <color rgb="FFFFFFFF"/>
        <color rgb="FFE67C73"/>
      </colorScale>
    </cfRule>
  </conditionalFormatting>
  <conditionalFormatting sqref="G11:G18 K8:Z10 O3:Z9">
    <cfRule type="colorScale" priority="3">
      <colorScale>
        <cfvo type="min"/>
        <cfvo type="max"/>
        <color rgb="FFFFFFFF"/>
        <color rgb="FFE67C73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6.5"/>
    <col customWidth="1" min="3" max="3" width="29.75"/>
    <col customWidth="1" min="4" max="6" width="12.63"/>
  </cols>
  <sheetData>
    <row r="1" ht="68.25" customHeight="1">
      <c r="A1" s="25"/>
      <c r="B1" s="29" t="s">
        <v>2877</v>
      </c>
      <c r="C1" s="30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25"/>
      <c r="B2" s="24"/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23" t="s">
        <v>2775</v>
      </c>
      <c r="B3" s="1" t="s">
        <v>2776</v>
      </c>
      <c r="C3" s="24" t="s">
        <v>2777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25">
        <v>1.0</v>
      </c>
      <c r="B4" s="24" t="s">
        <v>1</v>
      </c>
      <c r="C4" s="30" t="s">
        <v>2779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25">
        <v>2.0</v>
      </c>
      <c r="B5" s="24" t="s">
        <v>2</v>
      </c>
      <c r="C5" s="30" t="s">
        <v>2878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25">
        <v>3.0</v>
      </c>
      <c r="B6" s="24" t="s">
        <v>2792</v>
      </c>
      <c r="C6" s="30" t="s">
        <v>2879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25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25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25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25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25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25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25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25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25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25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25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25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25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25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2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25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25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25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25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25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2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25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25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25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25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25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25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25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25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25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25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25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25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2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25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25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25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25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25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25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25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25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25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25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25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25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25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25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25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25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25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25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25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25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25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25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25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25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25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25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25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25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25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25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25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25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25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25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25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25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25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25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25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25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25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25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25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25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25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25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25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25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25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25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25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25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25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25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25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25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2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2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25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25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25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25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25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25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25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25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25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25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25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25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25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25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25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25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25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25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25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25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25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25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25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25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25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25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25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25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25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25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25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25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25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25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25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25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25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25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25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25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25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25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25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25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25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25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25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25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25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25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25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25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25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25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25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25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25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25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25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25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25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25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25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25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25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25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25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25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25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25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25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25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25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25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25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25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25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25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25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25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25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25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25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25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25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25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25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25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25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25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25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25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25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25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25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25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25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25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25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25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25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25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25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25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25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25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25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25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25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25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25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25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25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25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25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2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2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2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2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2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25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25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8.5"/>
    <col customWidth="1" min="3" max="3" width="44.0"/>
    <col customWidth="1" min="4" max="6" width="12.63"/>
    <col customWidth="1" min="7" max="7" width="14.5"/>
  </cols>
  <sheetData>
    <row r="1" ht="16.5" customHeight="1">
      <c r="A1" s="1" t="s">
        <v>1</v>
      </c>
      <c r="B1" s="1" t="s">
        <v>2</v>
      </c>
      <c r="C1" s="1" t="s">
        <v>2880</v>
      </c>
      <c r="D1" s="1" t="s">
        <v>2881</v>
      </c>
      <c r="E1" s="1" t="s">
        <v>4</v>
      </c>
      <c r="F1" s="1" t="s">
        <v>2882</v>
      </c>
      <c r="G1" s="1" t="s">
        <v>2883</v>
      </c>
      <c r="H1" s="1" t="s">
        <v>2884</v>
      </c>
      <c r="I1" s="23" t="s">
        <v>2885</v>
      </c>
      <c r="J1" s="23" t="s">
        <v>13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ht="15.75" customHeight="1">
      <c r="A2" s="32" t="str">
        <f t="array" ref="A2">XLOOKUP(B2, city_to_region!$B$5:$B$96, city_to_region!$A$5:$A$96)</f>
        <v>г. Астана</v>
      </c>
      <c r="B2" s="21" t="s">
        <v>16</v>
      </c>
      <c r="C2" s="32" t="s">
        <v>2886</v>
      </c>
      <c r="D2" s="6" t="s">
        <v>2887</v>
      </c>
      <c r="E2" s="33">
        <v>45300.0</v>
      </c>
      <c r="F2" s="33">
        <v>45301.0</v>
      </c>
      <c r="G2" s="6" t="s">
        <v>2888</v>
      </c>
      <c r="H2" s="6" t="s">
        <v>2889</v>
      </c>
      <c r="I2" s="34">
        <v>1.14</v>
      </c>
      <c r="J2" s="35">
        <v>2024.0</v>
      </c>
    </row>
    <row r="3" ht="15.75" customHeight="1">
      <c r="A3" s="32" t="str">
        <f t="array" ref="A3">XLOOKUP(B3, city_to_region!$B$5:$B$96, city_to_region!$A$5:$A$96)</f>
        <v>г. Астана</v>
      </c>
      <c r="B3" s="32" t="s">
        <v>16</v>
      </c>
      <c r="C3" s="32" t="s">
        <v>2886</v>
      </c>
      <c r="D3" s="6" t="s">
        <v>2890</v>
      </c>
      <c r="E3" s="33">
        <v>45327.0</v>
      </c>
      <c r="F3" s="33">
        <v>45328.0</v>
      </c>
      <c r="G3" s="6" t="s">
        <v>2891</v>
      </c>
      <c r="H3" s="6" t="s">
        <v>2892</v>
      </c>
      <c r="I3" s="34">
        <v>1.37</v>
      </c>
      <c r="J3" s="35">
        <v>2024.0</v>
      </c>
    </row>
    <row r="4" ht="15.75" customHeight="1">
      <c r="A4" s="32" t="str">
        <f t="array" ref="A4">XLOOKUP(B4, city_to_region!$B$5:$B$96, city_to_region!$A$5:$A$96)</f>
        <v>г. Астана</v>
      </c>
      <c r="B4" s="32" t="s">
        <v>16</v>
      </c>
      <c r="C4" s="32" t="s">
        <v>2886</v>
      </c>
      <c r="D4" s="6" t="s">
        <v>2893</v>
      </c>
      <c r="E4" s="33">
        <v>45356.0</v>
      </c>
      <c r="F4" s="33">
        <v>45356.0</v>
      </c>
      <c r="G4" s="6" t="s">
        <v>2894</v>
      </c>
      <c r="H4" s="6" t="s">
        <v>2895</v>
      </c>
      <c r="I4" s="34">
        <v>2.29</v>
      </c>
      <c r="J4" s="35">
        <v>2024.0</v>
      </c>
    </row>
    <row r="5" ht="15.75" customHeight="1">
      <c r="A5" s="32" t="str">
        <f t="array" ref="A5">XLOOKUP(B5, city_to_region!$B$5:$B$96, city_to_region!$A$5:$A$96)</f>
        <v>г. Астана</v>
      </c>
      <c r="B5" s="32" t="s">
        <v>16</v>
      </c>
      <c r="C5" s="32" t="s">
        <v>2886</v>
      </c>
      <c r="D5" s="6" t="s">
        <v>2896</v>
      </c>
      <c r="E5" s="33">
        <v>45464.0</v>
      </c>
      <c r="F5" s="33">
        <v>45464.0</v>
      </c>
      <c r="G5" s="6" t="s">
        <v>2897</v>
      </c>
      <c r="H5" s="6" t="s">
        <v>2898</v>
      </c>
      <c r="I5" s="36">
        <v>0.0</v>
      </c>
      <c r="J5" s="35">
        <v>2024.0</v>
      </c>
    </row>
    <row r="6" ht="15.75" customHeight="1">
      <c r="A6" s="32" t="str">
        <f t="array" ref="A6">XLOOKUP(B6, city_to_region!$B$5:$B$96, city_to_region!$A$5:$A$96)</f>
        <v>г. Астана</v>
      </c>
      <c r="B6" s="32" t="s">
        <v>16</v>
      </c>
      <c r="C6" s="32" t="s">
        <v>2886</v>
      </c>
      <c r="D6" s="6" t="s">
        <v>2899</v>
      </c>
      <c r="E6" s="33">
        <v>45484.0</v>
      </c>
      <c r="F6" s="33">
        <v>45484.0</v>
      </c>
      <c r="G6" s="6" t="s">
        <v>2900</v>
      </c>
      <c r="H6" s="6" t="s">
        <v>2901</v>
      </c>
      <c r="I6" s="36">
        <v>0.0</v>
      </c>
      <c r="J6" s="35">
        <v>2024.0</v>
      </c>
    </row>
    <row r="7" ht="15.75" customHeight="1">
      <c r="A7" s="32" t="str">
        <f t="array" ref="A7">XLOOKUP(B7, city_to_region!$B$5:$B$96, city_to_region!$A$5:$A$96)</f>
        <v>г. Астана</v>
      </c>
      <c r="B7" s="32" t="s">
        <v>16</v>
      </c>
      <c r="C7" s="32" t="s">
        <v>2886</v>
      </c>
      <c r="D7" s="6" t="s">
        <v>2902</v>
      </c>
      <c r="E7" s="33">
        <v>45511.0</v>
      </c>
      <c r="F7" s="33">
        <v>45511.0</v>
      </c>
      <c r="G7" s="6" t="s">
        <v>2903</v>
      </c>
      <c r="H7" s="6" t="s">
        <v>2904</v>
      </c>
      <c r="I7" s="36">
        <v>0.0</v>
      </c>
      <c r="J7" s="35">
        <v>2024.0</v>
      </c>
    </row>
    <row r="8" ht="15.75" customHeight="1">
      <c r="A8" s="32" t="str">
        <f t="array" ref="A8">XLOOKUP(B8, city_to_region!$B$5:$B$96, city_to_region!$A$5:$A$96)</f>
        <v>г. Астана</v>
      </c>
      <c r="B8" s="32" t="s">
        <v>16</v>
      </c>
      <c r="C8" s="32" t="s">
        <v>2905</v>
      </c>
      <c r="D8" s="6" t="s">
        <v>2906</v>
      </c>
      <c r="E8" s="33">
        <v>45484.0</v>
      </c>
      <c r="F8" s="33">
        <v>45484.0</v>
      </c>
      <c r="G8" s="6" t="s">
        <v>2907</v>
      </c>
      <c r="H8" s="6" t="s">
        <v>2908</v>
      </c>
      <c r="I8" s="36">
        <v>0.0</v>
      </c>
      <c r="J8" s="35">
        <v>2024.0</v>
      </c>
    </row>
    <row r="9" ht="15.75" customHeight="1">
      <c r="A9" s="32" t="str">
        <f t="array" ref="A9">XLOOKUP(B9, city_to_region!$B$5:$B$96, city_to_region!$A$5:$A$96)</f>
        <v>г. Астана</v>
      </c>
      <c r="B9" s="32" t="s">
        <v>16</v>
      </c>
      <c r="C9" s="32" t="s">
        <v>2905</v>
      </c>
      <c r="D9" s="6" t="s">
        <v>2909</v>
      </c>
      <c r="E9" s="33">
        <v>45544.0</v>
      </c>
      <c r="F9" s="33">
        <v>45544.0</v>
      </c>
      <c r="G9" s="6" t="s">
        <v>2910</v>
      </c>
      <c r="H9" s="6" t="s">
        <v>2911</v>
      </c>
      <c r="I9" s="34">
        <v>2.28</v>
      </c>
      <c r="J9" s="35">
        <v>2024.0</v>
      </c>
    </row>
    <row r="10" ht="15.75" customHeight="1">
      <c r="A10" s="32" t="str">
        <f t="array" ref="A10">XLOOKUP(B10, city_to_region!$B$5:$B$96, city_to_region!$A$5:$A$96)</f>
        <v>г. Астана</v>
      </c>
      <c r="B10" s="32" t="s">
        <v>16</v>
      </c>
      <c r="C10" s="32" t="s">
        <v>2912</v>
      </c>
      <c r="D10" s="6" t="s">
        <v>2913</v>
      </c>
      <c r="E10" s="33">
        <v>45300.0</v>
      </c>
      <c r="F10" s="33">
        <v>45301.0</v>
      </c>
      <c r="G10" s="6" t="s">
        <v>2914</v>
      </c>
      <c r="H10" s="6" t="s">
        <v>2915</v>
      </c>
      <c r="I10" s="34">
        <v>0.92</v>
      </c>
      <c r="J10" s="35">
        <v>2024.0</v>
      </c>
    </row>
    <row r="11" ht="15.75" customHeight="1">
      <c r="A11" s="32" t="str">
        <f t="array" ref="A11">XLOOKUP(B11, city_to_region!$B$5:$B$96, city_to_region!$A$5:$A$96)</f>
        <v>г. Астана</v>
      </c>
      <c r="B11" s="32" t="s">
        <v>16</v>
      </c>
      <c r="C11" s="32" t="s">
        <v>2912</v>
      </c>
      <c r="D11" s="6" t="s">
        <v>2916</v>
      </c>
      <c r="E11" s="33">
        <v>45511.0</v>
      </c>
      <c r="F11" s="33">
        <v>45511.0</v>
      </c>
      <c r="G11" s="6" t="s">
        <v>2917</v>
      </c>
      <c r="H11" s="6" t="s">
        <v>2918</v>
      </c>
      <c r="I11" s="34">
        <v>1.34</v>
      </c>
      <c r="J11" s="35">
        <v>2024.0</v>
      </c>
    </row>
    <row r="12" ht="15.75" customHeight="1">
      <c r="A12" s="32" t="str">
        <f t="array" ref="A12">XLOOKUP(B12, city_to_region!$B$5:$B$96, city_to_region!$A$5:$A$96)</f>
        <v>г. Астана</v>
      </c>
      <c r="B12" s="32" t="s">
        <v>16</v>
      </c>
      <c r="C12" s="32" t="s">
        <v>2912</v>
      </c>
      <c r="D12" s="6" t="s">
        <v>2919</v>
      </c>
      <c r="E12" s="33">
        <v>45544.0</v>
      </c>
      <c r="F12" s="33">
        <v>45544.0</v>
      </c>
      <c r="G12" s="6" t="s">
        <v>2920</v>
      </c>
      <c r="H12" s="6" t="s">
        <v>2921</v>
      </c>
      <c r="I12" s="34">
        <v>2.81</v>
      </c>
      <c r="J12" s="35">
        <v>2024.0</v>
      </c>
    </row>
    <row r="13" ht="15.75" customHeight="1">
      <c r="A13" s="32" t="str">
        <f t="array" ref="A13">XLOOKUP(B13, city_to_region!$B$5:$B$96, city_to_region!$A$5:$A$96)</f>
        <v>г. Астана</v>
      </c>
      <c r="B13" s="32" t="s">
        <v>16</v>
      </c>
      <c r="C13" s="32" t="s">
        <v>2922</v>
      </c>
      <c r="D13" s="6" t="s">
        <v>2923</v>
      </c>
      <c r="E13" s="33">
        <v>45300.0</v>
      </c>
      <c r="F13" s="33">
        <v>45301.0</v>
      </c>
      <c r="G13" s="6" t="s">
        <v>2924</v>
      </c>
      <c r="H13" s="6" t="s">
        <v>2925</v>
      </c>
      <c r="I13" s="34">
        <v>1.6</v>
      </c>
      <c r="J13" s="35">
        <v>2024.0</v>
      </c>
    </row>
    <row r="14" ht="15.75" customHeight="1">
      <c r="A14" s="32" t="str">
        <f t="array" ref="A14">XLOOKUP(B14, city_to_region!$B$5:$B$96, city_to_region!$A$5:$A$96)</f>
        <v>г. Астана</v>
      </c>
      <c r="B14" s="32" t="s">
        <v>16</v>
      </c>
      <c r="C14" s="32" t="s">
        <v>2922</v>
      </c>
      <c r="D14" s="6" t="s">
        <v>2926</v>
      </c>
      <c r="E14" s="33">
        <v>45464.0</v>
      </c>
      <c r="F14" s="33">
        <v>45464.0</v>
      </c>
      <c r="G14" s="6" t="s">
        <v>2927</v>
      </c>
      <c r="H14" s="6" t="s">
        <v>2928</v>
      </c>
      <c r="I14" s="36">
        <v>0.0</v>
      </c>
      <c r="J14" s="35">
        <v>2024.0</v>
      </c>
    </row>
    <row r="15" ht="15.75" customHeight="1">
      <c r="A15" s="32" t="str">
        <f t="array" ref="A15">XLOOKUP(B15, city_to_region!$B$5:$B$96, city_to_region!$A$5:$A$96)</f>
        <v>г. Астана</v>
      </c>
      <c r="B15" s="32" t="s">
        <v>16</v>
      </c>
      <c r="C15" s="32" t="s">
        <v>2922</v>
      </c>
      <c r="D15" s="6" t="s">
        <v>2929</v>
      </c>
      <c r="E15" s="33">
        <v>45511.0</v>
      </c>
      <c r="F15" s="33">
        <v>45511.0</v>
      </c>
      <c r="G15" s="6" t="s">
        <v>2930</v>
      </c>
      <c r="H15" s="6" t="s">
        <v>2931</v>
      </c>
      <c r="I15" s="36">
        <v>0.0</v>
      </c>
      <c r="J15" s="35">
        <v>2024.0</v>
      </c>
    </row>
    <row r="16" ht="15.75" customHeight="1">
      <c r="A16" s="32" t="str">
        <f t="array" ref="A16">XLOOKUP(B16, city_to_region!$B$5:$B$96, city_to_region!$A$5:$A$96)</f>
        <v>г. Астана</v>
      </c>
      <c r="B16" s="32" t="s">
        <v>16</v>
      </c>
      <c r="C16" s="32" t="s">
        <v>2932</v>
      </c>
      <c r="D16" s="6" t="s">
        <v>2933</v>
      </c>
      <c r="E16" s="33">
        <v>45484.0</v>
      </c>
      <c r="F16" s="33">
        <v>45484.0</v>
      </c>
      <c r="G16" s="6" t="s">
        <v>2934</v>
      </c>
      <c r="H16" s="6" t="s">
        <v>2935</v>
      </c>
      <c r="I16" s="36">
        <v>0.0</v>
      </c>
      <c r="J16" s="35">
        <v>2024.0</v>
      </c>
    </row>
    <row r="17" ht="15.75" customHeight="1">
      <c r="A17" s="32" t="str">
        <f t="array" ref="A17">XLOOKUP(B17, city_to_region!$B$5:$B$96, city_to_region!$A$5:$A$96)</f>
        <v>Костанайская</v>
      </c>
      <c r="B17" s="21" t="s">
        <v>2936</v>
      </c>
      <c r="C17" s="32" t="s">
        <v>2937</v>
      </c>
      <c r="D17" s="6" t="s">
        <v>2938</v>
      </c>
      <c r="E17" s="33">
        <v>45309.0</v>
      </c>
      <c r="F17" s="33">
        <v>45310.0</v>
      </c>
      <c r="G17" s="6" t="s">
        <v>2939</v>
      </c>
      <c r="H17" s="6" t="s">
        <v>2940</v>
      </c>
      <c r="I17" s="34">
        <v>6.17</v>
      </c>
      <c r="J17" s="35">
        <v>2024.0</v>
      </c>
    </row>
    <row r="18" ht="15.75" customHeight="1">
      <c r="A18" s="32" t="str">
        <f t="array" ref="A18">XLOOKUP(B18, city_to_region!$B$5:$B$96, city_to_region!$A$5:$A$96)</f>
        <v>Костанайская</v>
      </c>
      <c r="B18" s="21" t="s">
        <v>2936</v>
      </c>
      <c r="C18" s="32" t="s">
        <v>2937</v>
      </c>
      <c r="D18" s="6" t="s">
        <v>2941</v>
      </c>
      <c r="E18" s="33">
        <v>45398.0</v>
      </c>
      <c r="F18" s="33">
        <v>45399.0</v>
      </c>
      <c r="G18" s="6" t="s">
        <v>2942</v>
      </c>
      <c r="H18" s="6" t="s">
        <v>2943</v>
      </c>
      <c r="I18" s="34">
        <v>0.5</v>
      </c>
      <c r="J18" s="35">
        <v>2024.0</v>
      </c>
    </row>
    <row r="19" ht="15.75" customHeight="1">
      <c r="A19" s="32" t="str">
        <f t="array" ref="A19">XLOOKUP(B19, city_to_region!$B$5:$B$96, city_to_region!$A$5:$A$96)</f>
        <v>Костанайская</v>
      </c>
      <c r="B19" s="32" t="s">
        <v>2944</v>
      </c>
      <c r="C19" s="32" t="s">
        <v>2945</v>
      </c>
      <c r="D19" s="6" t="s">
        <v>2946</v>
      </c>
      <c r="E19" s="33">
        <v>45309.0</v>
      </c>
      <c r="F19" s="33">
        <v>45310.0</v>
      </c>
      <c r="G19" s="6" t="s">
        <v>2947</v>
      </c>
      <c r="H19" s="6" t="s">
        <v>2948</v>
      </c>
      <c r="I19" s="36">
        <v>4608.5</v>
      </c>
      <c r="J19" s="35">
        <v>2024.0</v>
      </c>
    </row>
    <row r="20" ht="15.75" customHeight="1">
      <c r="A20" s="32" t="str">
        <f t="array" ref="A20">XLOOKUP(B20, city_to_region!$B$5:$B$96, city_to_region!$A$5:$A$96)</f>
        <v>Костанайская</v>
      </c>
      <c r="B20" s="32" t="s">
        <v>2944</v>
      </c>
      <c r="C20" s="32" t="s">
        <v>2945</v>
      </c>
      <c r="D20" s="6" t="s">
        <v>2949</v>
      </c>
      <c r="E20" s="33">
        <v>45309.0</v>
      </c>
      <c r="F20" s="33">
        <v>45310.0</v>
      </c>
      <c r="G20" s="6" t="s">
        <v>2950</v>
      </c>
      <c r="H20" s="6" t="s">
        <v>2951</v>
      </c>
      <c r="I20" s="36">
        <v>2219.0</v>
      </c>
      <c r="J20" s="35">
        <v>2024.0</v>
      </c>
    </row>
    <row r="21" ht="15.75" customHeight="1">
      <c r="A21" s="32" t="str">
        <f t="array" ref="A21">XLOOKUP(B21, city_to_region!$B$5:$B$96, city_to_region!$A$5:$A$96)</f>
        <v>Костанайская</v>
      </c>
      <c r="B21" s="32" t="s">
        <v>2944</v>
      </c>
      <c r="C21" s="32" t="s">
        <v>2945</v>
      </c>
      <c r="D21" s="6" t="s">
        <v>2952</v>
      </c>
      <c r="E21" s="33">
        <v>45309.0</v>
      </c>
      <c r="F21" s="33">
        <v>45310.0</v>
      </c>
      <c r="G21" s="6" t="s">
        <v>2953</v>
      </c>
      <c r="H21" s="6" t="s">
        <v>2954</v>
      </c>
      <c r="I21" s="36">
        <v>608.0</v>
      </c>
      <c r="J21" s="35">
        <v>2024.0</v>
      </c>
    </row>
    <row r="22" ht="15.75" customHeight="1">
      <c r="A22" s="32" t="str">
        <f t="array" ref="A22">XLOOKUP(B22, city_to_region!$B$5:$B$96, city_to_region!$A$5:$A$96)</f>
        <v>Костанайская</v>
      </c>
      <c r="B22" s="32" t="s">
        <v>2944</v>
      </c>
      <c r="C22" s="32" t="s">
        <v>2945</v>
      </c>
      <c r="D22" s="6" t="s">
        <v>2955</v>
      </c>
      <c r="E22" s="33">
        <v>45309.0</v>
      </c>
      <c r="F22" s="33">
        <v>45310.0</v>
      </c>
      <c r="G22" s="6" t="s">
        <v>2956</v>
      </c>
      <c r="H22" s="6" t="s">
        <v>2957</v>
      </c>
      <c r="I22" s="36">
        <v>501.0</v>
      </c>
      <c r="J22" s="35">
        <v>2024.0</v>
      </c>
    </row>
    <row r="23" ht="15.75" customHeight="1">
      <c r="A23" s="32" t="str">
        <f t="array" ref="A23">XLOOKUP(B23, city_to_region!$B$5:$B$96, city_to_region!$A$5:$A$96)</f>
        <v>Костанайская</v>
      </c>
      <c r="B23" s="32" t="s">
        <v>2944</v>
      </c>
      <c r="C23" s="32" t="s">
        <v>2945</v>
      </c>
      <c r="D23" s="6" t="s">
        <v>2958</v>
      </c>
      <c r="E23" s="33">
        <v>45309.0</v>
      </c>
      <c r="F23" s="33">
        <v>45310.0</v>
      </c>
      <c r="G23" s="6" t="s">
        <v>2959</v>
      </c>
      <c r="H23" s="6" t="s">
        <v>2960</v>
      </c>
      <c r="I23" s="36">
        <v>10820.1</v>
      </c>
      <c r="J23" s="35">
        <v>2024.0</v>
      </c>
    </row>
    <row r="24" ht="15.75" customHeight="1">
      <c r="A24" s="32" t="str">
        <f t="array" ref="A24">XLOOKUP(B24, city_to_region!$B$5:$B$96, city_to_region!$A$5:$A$96)</f>
        <v>Костанайская</v>
      </c>
      <c r="B24" s="32" t="s">
        <v>2944</v>
      </c>
      <c r="C24" s="32" t="s">
        <v>2945</v>
      </c>
      <c r="D24" s="6" t="s">
        <v>2961</v>
      </c>
      <c r="E24" s="33">
        <v>45324.0</v>
      </c>
      <c r="F24" s="33">
        <v>45327.0</v>
      </c>
      <c r="G24" s="6" t="s">
        <v>2962</v>
      </c>
      <c r="H24" s="6" t="s">
        <v>2963</v>
      </c>
      <c r="I24" s="36">
        <v>4332.0</v>
      </c>
      <c r="J24" s="35">
        <v>2024.0</v>
      </c>
    </row>
    <row r="25" ht="15.75" customHeight="1">
      <c r="A25" s="32" t="str">
        <f t="array" ref="A25">XLOOKUP(B25, city_to_region!$B$5:$B$96, city_to_region!$A$5:$A$96)</f>
        <v>Костанайская</v>
      </c>
      <c r="B25" s="32" t="s">
        <v>2944</v>
      </c>
      <c r="C25" s="32" t="s">
        <v>2945</v>
      </c>
      <c r="D25" s="6" t="s">
        <v>2964</v>
      </c>
      <c r="E25" s="33">
        <v>45324.0</v>
      </c>
      <c r="F25" s="33">
        <v>45327.0</v>
      </c>
      <c r="G25" s="6" t="s">
        <v>2965</v>
      </c>
      <c r="H25" s="6" t="s">
        <v>2966</v>
      </c>
      <c r="I25" s="36">
        <v>2286.2</v>
      </c>
      <c r="J25" s="35">
        <v>2024.0</v>
      </c>
    </row>
    <row r="26" ht="15.75" customHeight="1">
      <c r="A26" s="32" t="str">
        <f t="array" ref="A26">XLOOKUP(B26, city_to_region!$B$5:$B$96, city_to_region!$A$5:$A$96)</f>
        <v>Костанайская</v>
      </c>
      <c r="B26" s="32" t="s">
        <v>2944</v>
      </c>
      <c r="C26" s="32" t="s">
        <v>2945</v>
      </c>
      <c r="D26" s="6" t="s">
        <v>2967</v>
      </c>
      <c r="E26" s="33">
        <v>45324.0</v>
      </c>
      <c r="F26" s="33">
        <v>45327.0</v>
      </c>
      <c r="G26" s="6" t="s">
        <v>2968</v>
      </c>
      <c r="H26" s="6" t="s">
        <v>2969</v>
      </c>
      <c r="I26" s="36">
        <v>638.4</v>
      </c>
      <c r="J26" s="35">
        <v>2024.0</v>
      </c>
    </row>
    <row r="27" ht="15.75" customHeight="1">
      <c r="A27" s="32" t="str">
        <f t="array" ref="A27">XLOOKUP(B27, city_to_region!$B$5:$B$96, city_to_region!$A$5:$A$96)</f>
        <v>Костанайская</v>
      </c>
      <c r="B27" s="32" t="s">
        <v>2944</v>
      </c>
      <c r="C27" s="32" t="s">
        <v>2945</v>
      </c>
      <c r="D27" s="6" t="s">
        <v>2970</v>
      </c>
      <c r="E27" s="33">
        <v>45324.0</v>
      </c>
      <c r="F27" s="33">
        <v>45327.0</v>
      </c>
      <c r="G27" s="6" t="s">
        <v>2971</v>
      </c>
      <c r="H27" s="6" t="s">
        <v>2972</v>
      </c>
      <c r="I27" s="36">
        <v>501.0</v>
      </c>
      <c r="J27" s="35">
        <v>2024.0</v>
      </c>
    </row>
    <row r="28" ht="15.75" customHeight="1">
      <c r="A28" s="32" t="str">
        <f t="array" ref="A28">XLOOKUP(B28, city_to_region!$B$5:$B$96, city_to_region!$A$5:$A$96)</f>
        <v>Костанайская</v>
      </c>
      <c r="B28" s="32" t="s">
        <v>2944</v>
      </c>
      <c r="C28" s="32" t="s">
        <v>2945</v>
      </c>
      <c r="D28" s="6" t="s">
        <v>2973</v>
      </c>
      <c r="E28" s="33">
        <v>45324.0</v>
      </c>
      <c r="F28" s="33">
        <v>45327.0</v>
      </c>
      <c r="G28" s="6" t="s">
        <v>2974</v>
      </c>
      <c r="H28" s="6" t="s">
        <v>2975</v>
      </c>
      <c r="I28" s="34">
        <v>6.47</v>
      </c>
      <c r="J28" s="35">
        <v>2024.0</v>
      </c>
    </row>
    <row r="29" ht="15.75" customHeight="1">
      <c r="A29" s="32" t="str">
        <f t="array" ref="A29">XLOOKUP(B29, city_to_region!$B$5:$B$96, city_to_region!$A$5:$A$96)</f>
        <v>Костанайская</v>
      </c>
      <c r="B29" s="32" t="s">
        <v>2944</v>
      </c>
      <c r="C29" s="32" t="s">
        <v>2945</v>
      </c>
      <c r="D29" s="6" t="s">
        <v>2976</v>
      </c>
      <c r="E29" s="33">
        <v>45324.0</v>
      </c>
      <c r="F29" s="33">
        <v>45327.0</v>
      </c>
      <c r="G29" s="6" t="s">
        <v>2977</v>
      </c>
      <c r="H29" s="6" t="s">
        <v>2978</v>
      </c>
      <c r="I29" s="36">
        <v>10468.3</v>
      </c>
      <c r="J29" s="35">
        <v>2024.0</v>
      </c>
    </row>
    <row r="30" ht="15.75" customHeight="1">
      <c r="A30" s="32" t="str">
        <f t="array" ref="A30">XLOOKUP(B30, city_to_region!$B$5:$B$96, city_to_region!$A$5:$A$96)</f>
        <v>Костанайская</v>
      </c>
      <c r="B30" s="32" t="s">
        <v>2944</v>
      </c>
      <c r="C30" s="32" t="s">
        <v>2945</v>
      </c>
      <c r="D30" s="6" t="s">
        <v>2979</v>
      </c>
      <c r="E30" s="33">
        <v>45324.0</v>
      </c>
      <c r="F30" s="33">
        <v>45327.0</v>
      </c>
      <c r="G30" s="6" t="s">
        <v>2980</v>
      </c>
      <c r="H30" s="6" t="s">
        <v>2981</v>
      </c>
      <c r="I30" s="37">
        <v>1.959</v>
      </c>
      <c r="J30" s="35">
        <v>2024.0</v>
      </c>
    </row>
    <row r="31" ht="15.75" customHeight="1">
      <c r="A31" s="32" t="str">
        <f t="array" ref="A31">XLOOKUP(B31, city_to_region!$B$5:$B$96, city_to_region!$A$5:$A$96)</f>
        <v>Костанайская</v>
      </c>
      <c r="B31" s="32" t="s">
        <v>2944</v>
      </c>
      <c r="C31" s="32" t="s">
        <v>2945</v>
      </c>
      <c r="D31" s="6" t="s">
        <v>2982</v>
      </c>
      <c r="E31" s="33">
        <v>45357.0</v>
      </c>
      <c r="F31" s="33">
        <v>45358.0</v>
      </c>
      <c r="G31" s="6" t="s">
        <v>2983</v>
      </c>
      <c r="H31" s="6" t="s">
        <v>2984</v>
      </c>
      <c r="I31" s="34">
        <v>0.84</v>
      </c>
      <c r="J31" s="35">
        <v>2024.0</v>
      </c>
    </row>
    <row r="32" ht="15.75" customHeight="1">
      <c r="A32" s="32" t="str">
        <f t="array" ref="A32">XLOOKUP(B32, city_to_region!$B$5:$B$96, city_to_region!$A$5:$A$96)</f>
        <v>Костанайская</v>
      </c>
      <c r="B32" s="32" t="s">
        <v>2944</v>
      </c>
      <c r="C32" s="32" t="s">
        <v>2945</v>
      </c>
      <c r="D32" s="6" t="s">
        <v>2985</v>
      </c>
      <c r="E32" s="33">
        <v>45357.0</v>
      </c>
      <c r="F32" s="33">
        <v>45362.0</v>
      </c>
      <c r="G32" s="6" t="s">
        <v>2986</v>
      </c>
      <c r="H32" s="6" t="s">
        <v>2987</v>
      </c>
      <c r="I32" s="36">
        <v>3659.9</v>
      </c>
      <c r="J32" s="35">
        <v>2024.0</v>
      </c>
    </row>
    <row r="33" ht="15.75" customHeight="1">
      <c r="A33" s="32" t="str">
        <f t="array" ref="A33">XLOOKUP(B33, city_to_region!$B$5:$B$96, city_to_region!$A$5:$A$96)</f>
        <v>Костанайская</v>
      </c>
      <c r="B33" s="32" t="s">
        <v>2944</v>
      </c>
      <c r="C33" s="32" t="s">
        <v>2945</v>
      </c>
      <c r="D33" s="6" t="s">
        <v>2988</v>
      </c>
      <c r="E33" s="33">
        <v>45357.0</v>
      </c>
      <c r="F33" s="33">
        <v>45362.0</v>
      </c>
      <c r="G33" s="6" t="s">
        <v>2989</v>
      </c>
      <c r="H33" s="6" t="s">
        <v>2990</v>
      </c>
      <c r="I33" s="36">
        <v>3227.6</v>
      </c>
      <c r="J33" s="35">
        <v>2024.0</v>
      </c>
    </row>
    <row r="34" ht="15.75" customHeight="1">
      <c r="A34" s="32" t="str">
        <f t="array" ref="A34">XLOOKUP(B34, city_to_region!$B$5:$B$96, city_to_region!$A$5:$A$96)</f>
        <v>Костанайская</v>
      </c>
      <c r="B34" s="32" t="s">
        <v>2944</v>
      </c>
      <c r="C34" s="32" t="s">
        <v>2945</v>
      </c>
      <c r="D34" s="6" t="s">
        <v>2991</v>
      </c>
      <c r="E34" s="33">
        <v>45357.0</v>
      </c>
      <c r="F34" s="33">
        <v>45362.0</v>
      </c>
      <c r="G34" s="6" t="s">
        <v>2992</v>
      </c>
      <c r="H34" s="6" t="s">
        <v>2993</v>
      </c>
      <c r="I34" s="36">
        <v>802.6</v>
      </c>
      <c r="J34" s="35">
        <v>2024.0</v>
      </c>
    </row>
    <row r="35" ht="15.75" customHeight="1">
      <c r="A35" s="32" t="str">
        <f t="array" ref="A35">XLOOKUP(B35, city_to_region!$B$5:$B$96, city_to_region!$A$5:$A$96)</f>
        <v>Костанайская</v>
      </c>
      <c r="B35" s="32" t="s">
        <v>2944</v>
      </c>
      <c r="C35" s="32" t="s">
        <v>2945</v>
      </c>
      <c r="D35" s="6" t="s">
        <v>2994</v>
      </c>
      <c r="E35" s="33">
        <v>45357.0</v>
      </c>
      <c r="F35" s="33">
        <v>45362.0</v>
      </c>
      <c r="G35" s="6" t="s">
        <v>2995</v>
      </c>
      <c r="H35" s="6" t="s">
        <v>2996</v>
      </c>
      <c r="I35" s="36">
        <v>681.4</v>
      </c>
      <c r="J35" s="35">
        <v>2024.0</v>
      </c>
    </row>
    <row r="36" ht="15.75" customHeight="1">
      <c r="A36" s="32" t="str">
        <f t="array" ref="A36">XLOOKUP(B36, city_to_region!$B$5:$B$96, city_to_region!$A$5:$A$96)</f>
        <v>Костанайская</v>
      </c>
      <c r="B36" s="32" t="s">
        <v>2944</v>
      </c>
      <c r="C36" s="32" t="s">
        <v>2945</v>
      </c>
      <c r="D36" s="6" t="s">
        <v>2997</v>
      </c>
      <c r="E36" s="33">
        <v>45357.0</v>
      </c>
      <c r="F36" s="33">
        <v>45362.0</v>
      </c>
      <c r="G36" s="6" t="s">
        <v>2998</v>
      </c>
      <c r="H36" s="6" t="s">
        <v>2999</v>
      </c>
      <c r="I36" s="37">
        <v>0.83</v>
      </c>
      <c r="J36" s="35">
        <v>2024.0</v>
      </c>
    </row>
    <row r="37" ht="15.75" customHeight="1">
      <c r="A37" s="32" t="str">
        <f t="array" ref="A37">XLOOKUP(B37, city_to_region!$B$5:$B$96, city_to_region!$A$5:$A$96)</f>
        <v>Костанайская</v>
      </c>
      <c r="B37" s="32" t="s">
        <v>2944</v>
      </c>
      <c r="C37" s="32" t="s">
        <v>2945</v>
      </c>
      <c r="D37" s="6" t="s">
        <v>3000</v>
      </c>
      <c r="E37" s="33">
        <v>45357.0</v>
      </c>
      <c r="F37" s="33">
        <v>45362.0</v>
      </c>
      <c r="G37" s="6" t="s">
        <v>3001</v>
      </c>
      <c r="H37" s="6" t="s">
        <v>3002</v>
      </c>
      <c r="I37" s="37">
        <v>0.197</v>
      </c>
      <c r="J37" s="35">
        <v>2024.0</v>
      </c>
    </row>
    <row r="38" ht="15.75" customHeight="1">
      <c r="A38" s="32" t="str">
        <f t="array" ref="A38">XLOOKUP(B38, city_to_region!$B$5:$B$96, city_to_region!$A$5:$A$96)</f>
        <v>Костанайская</v>
      </c>
      <c r="B38" s="32" t="s">
        <v>2944</v>
      </c>
      <c r="C38" s="32" t="s">
        <v>2945</v>
      </c>
      <c r="D38" s="6" t="s">
        <v>3003</v>
      </c>
      <c r="E38" s="33">
        <v>45357.0</v>
      </c>
      <c r="F38" s="33">
        <v>45362.0</v>
      </c>
      <c r="G38" s="6" t="s">
        <v>3004</v>
      </c>
      <c r="H38" s="6" t="s">
        <v>3005</v>
      </c>
      <c r="I38" s="36">
        <v>10560.9</v>
      </c>
      <c r="J38" s="35">
        <v>2024.0</v>
      </c>
    </row>
    <row r="39" ht="15.75" customHeight="1">
      <c r="A39" s="32" t="str">
        <f t="array" ref="A39">XLOOKUP(B39, city_to_region!$B$5:$B$96, city_to_region!$A$5:$A$96)</f>
        <v>Костанайская</v>
      </c>
      <c r="B39" s="32" t="s">
        <v>2944</v>
      </c>
      <c r="C39" s="32" t="s">
        <v>2945</v>
      </c>
      <c r="D39" s="6" t="s">
        <v>3006</v>
      </c>
      <c r="E39" s="33">
        <v>45397.0</v>
      </c>
      <c r="F39" s="33">
        <v>45399.0</v>
      </c>
      <c r="G39" s="6" t="s">
        <v>3007</v>
      </c>
      <c r="H39" s="6" t="s">
        <v>3008</v>
      </c>
      <c r="I39" s="34">
        <v>0.55</v>
      </c>
      <c r="J39" s="35">
        <v>2024.0</v>
      </c>
    </row>
    <row r="40" ht="15.75" customHeight="1">
      <c r="A40" s="32" t="str">
        <f t="array" ref="A40">XLOOKUP(B40, city_to_region!$B$5:$B$96, city_to_region!$A$5:$A$96)</f>
        <v>Костанайская</v>
      </c>
      <c r="B40" s="32" t="s">
        <v>2944</v>
      </c>
      <c r="C40" s="32" t="s">
        <v>2945</v>
      </c>
      <c r="D40" s="6" t="s">
        <v>3009</v>
      </c>
      <c r="E40" s="33">
        <v>45615.0</v>
      </c>
      <c r="F40" s="33">
        <v>45617.0</v>
      </c>
      <c r="G40" s="6" t="s">
        <v>3010</v>
      </c>
      <c r="H40" s="6" t="s">
        <v>3011</v>
      </c>
      <c r="I40" s="36">
        <v>1825.1</v>
      </c>
      <c r="J40" s="35">
        <v>2024.0</v>
      </c>
    </row>
    <row r="41" ht="15.75" customHeight="1">
      <c r="A41" s="32" t="str">
        <f t="array" ref="A41">XLOOKUP(B41, city_to_region!$B$5:$B$96, city_to_region!$A$5:$A$96)</f>
        <v>Костанайская</v>
      </c>
      <c r="B41" s="32" t="s">
        <v>2944</v>
      </c>
      <c r="C41" s="32" t="s">
        <v>2945</v>
      </c>
      <c r="D41" s="6" t="s">
        <v>3012</v>
      </c>
      <c r="E41" s="33">
        <v>45615.0</v>
      </c>
      <c r="F41" s="33">
        <v>45617.0</v>
      </c>
      <c r="G41" s="6" t="s">
        <v>3013</v>
      </c>
      <c r="H41" s="6" t="s">
        <v>3014</v>
      </c>
      <c r="I41" s="36">
        <v>470.9</v>
      </c>
      <c r="J41" s="35">
        <v>2024.0</v>
      </c>
    </row>
    <row r="42" ht="15.75" customHeight="1">
      <c r="A42" s="32" t="str">
        <f t="array" ref="A42">XLOOKUP(B42, city_to_region!$B$5:$B$96, city_to_region!$A$5:$A$96)</f>
        <v>Костанайская</v>
      </c>
      <c r="B42" s="32" t="s">
        <v>2944</v>
      </c>
      <c r="C42" s="32" t="s">
        <v>2945</v>
      </c>
      <c r="D42" s="6" t="s">
        <v>3015</v>
      </c>
      <c r="E42" s="33">
        <v>45639.0</v>
      </c>
      <c r="F42" s="33">
        <v>45644.0</v>
      </c>
      <c r="G42" s="6" t="s">
        <v>3016</v>
      </c>
      <c r="H42" s="6" t="s">
        <v>3017</v>
      </c>
      <c r="I42" s="36">
        <v>1944.3</v>
      </c>
      <c r="J42" s="35">
        <v>2024.0</v>
      </c>
    </row>
    <row r="43" ht="15.75" customHeight="1">
      <c r="A43" s="32" t="str">
        <f t="array" ref="A43">XLOOKUP(B43, city_to_region!$B$5:$B$96, city_to_region!$A$5:$A$96)</f>
        <v>Костанайская</v>
      </c>
      <c r="B43" s="32" t="s">
        <v>2944</v>
      </c>
      <c r="C43" s="32" t="s">
        <v>2945</v>
      </c>
      <c r="D43" s="6" t="s">
        <v>3018</v>
      </c>
      <c r="E43" s="33">
        <v>45328.0</v>
      </c>
      <c r="F43" s="33">
        <v>45329.0</v>
      </c>
      <c r="G43" s="6" t="s">
        <v>3019</v>
      </c>
      <c r="H43" s="6" t="s">
        <v>3020</v>
      </c>
      <c r="I43" s="37">
        <v>1.03</v>
      </c>
      <c r="J43" s="35">
        <v>2024.0</v>
      </c>
    </row>
    <row r="44" ht="15.75" customHeight="1">
      <c r="A44" s="32" t="str">
        <f t="array" ref="A44">XLOOKUP(B44, city_to_region!$B$5:$B$96, city_to_region!$A$5:$A$96)</f>
        <v>Костанайская</v>
      </c>
      <c r="B44" s="32" t="s">
        <v>2944</v>
      </c>
      <c r="C44" s="32" t="s">
        <v>3021</v>
      </c>
      <c r="D44" s="6" t="s">
        <v>3022</v>
      </c>
      <c r="E44" s="33">
        <v>45356.0</v>
      </c>
      <c r="F44" s="33">
        <v>45356.0</v>
      </c>
      <c r="G44" s="6" t="s">
        <v>3023</v>
      </c>
      <c r="H44" s="6" t="s">
        <v>3024</v>
      </c>
      <c r="I44" s="37">
        <v>0.623</v>
      </c>
      <c r="J44" s="35">
        <v>2024.0</v>
      </c>
    </row>
    <row r="45" ht="15.75" customHeight="1">
      <c r="A45" s="32" t="str">
        <f t="array" ref="A45">XLOOKUP(B45, city_to_region!$B$5:$B$96, city_to_region!$A$5:$A$96)</f>
        <v>Костанайская</v>
      </c>
      <c r="B45" s="32" t="s">
        <v>2800</v>
      </c>
      <c r="C45" s="32" t="s">
        <v>3025</v>
      </c>
      <c r="D45" s="6" t="s">
        <v>3026</v>
      </c>
      <c r="E45" s="33">
        <v>45394.0</v>
      </c>
      <c r="F45" s="33">
        <v>45399.0</v>
      </c>
      <c r="G45" s="6" t="s">
        <v>3027</v>
      </c>
      <c r="H45" s="6" t="s">
        <v>3028</v>
      </c>
      <c r="I45" s="34">
        <v>6.53</v>
      </c>
      <c r="J45" s="35">
        <v>2024.0</v>
      </c>
    </row>
    <row r="46" ht="15.75" customHeight="1">
      <c r="A46" s="32" t="str">
        <f t="array" ref="A46">XLOOKUP(B46, city_to_region!$B$5:$B$96, city_to_region!$A$5:$A$96)</f>
        <v>Костанайская</v>
      </c>
      <c r="B46" s="32" t="s">
        <v>3029</v>
      </c>
      <c r="C46" s="32" t="s">
        <v>3030</v>
      </c>
      <c r="D46" s="6" t="s">
        <v>3031</v>
      </c>
      <c r="E46" s="33">
        <v>45300.0</v>
      </c>
      <c r="F46" s="33">
        <v>45301.0</v>
      </c>
      <c r="G46" s="6" t="s">
        <v>3032</v>
      </c>
      <c r="H46" s="6" t="s">
        <v>3033</v>
      </c>
      <c r="I46" s="34">
        <v>0.5</v>
      </c>
      <c r="J46" s="35">
        <v>2024.0</v>
      </c>
    </row>
    <row r="47" ht="15.75" customHeight="1">
      <c r="A47" s="32" t="str">
        <f t="array" ref="A47">XLOOKUP(B47, city_to_region!$B$5:$B$96, city_to_region!$A$5:$A$96)</f>
        <v>Костанайская</v>
      </c>
      <c r="B47" s="32" t="s">
        <v>3029</v>
      </c>
      <c r="C47" s="32" t="s">
        <v>3030</v>
      </c>
      <c r="D47" s="6" t="s">
        <v>3034</v>
      </c>
      <c r="E47" s="33">
        <v>45363.0</v>
      </c>
      <c r="F47" s="33">
        <v>45363.0</v>
      </c>
      <c r="G47" s="6" t="s">
        <v>3035</v>
      </c>
      <c r="H47" s="6" t="s">
        <v>3036</v>
      </c>
      <c r="I47" s="34">
        <v>2.67</v>
      </c>
      <c r="J47" s="35">
        <v>2024.0</v>
      </c>
    </row>
    <row r="48" ht="15.75" customHeight="1">
      <c r="A48" s="32" t="str">
        <f t="array" ref="A48">XLOOKUP(B48, city_to_region!$B$5:$B$96, city_to_region!$A$5:$A$96)</f>
        <v>Костанайская</v>
      </c>
      <c r="B48" s="32" t="s">
        <v>3029</v>
      </c>
      <c r="C48" s="32" t="s">
        <v>3030</v>
      </c>
      <c r="D48" s="6" t="s">
        <v>3037</v>
      </c>
      <c r="E48" s="33">
        <v>45363.0</v>
      </c>
      <c r="F48" s="33">
        <v>45363.0</v>
      </c>
      <c r="G48" s="6" t="s">
        <v>3038</v>
      </c>
      <c r="H48" s="6" t="s">
        <v>3039</v>
      </c>
      <c r="I48" s="34">
        <v>0.37</v>
      </c>
      <c r="J48" s="35">
        <v>2024.0</v>
      </c>
    </row>
    <row r="49" ht="15.75" customHeight="1">
      <c r="A49" s="32" t="str">
        <f t="array" ref="A49">XLOOKUP(B49, city_to_region!$B$5:$B$96, city_to_region!$A$5:$A$96)</f>
        <v>Костанайская</v>
      </c>
      <c r="B49" s="32" t="s">
        <v>3029</v>
      </c>
      <c r="C49" s="32" t="s">
        <v>3030</v>
      </c>
      <c r="D49" s="6" t="s">
        <v>3040</v>
      </c>
      <c r="E49" s="33">
        <v>45363.0</v>
      </c>
      <c r="F49" s="33">
        <v>45363.0</v>
      </c>
      <c r="G49" s="6" t="s">
        <v>3041</v>
      </c>
      <c r="H49" s="6" t="s">
        <v>3042</v>
      </c>
      <c r="I49" s="37">
        <v>1.76</v>
      </c>
      <c r="J49" s="35">
        <v>2024.0</v>
      </c>
    </row>
    <row r="50" ht="15.75" customHeight="1">
      <c r="A50" s="32" t="str">
        <f t="array" ref="A50">XLOOKUP(B50, city_to_region!$B$5:$B$96, city_to_region!$A$5:$A$96)</f>
        <v>Костанайская</v>
      </c>
      <c r="B50" s="32" t="s">
        <v>3043</v>
      </c>
      <c r="C50" s="32" t="s">
        <v>3044</v>
      </c>
      <c r="D50" s="6" t="s">
        <v>3045</v>
      </c>
      <c r="E50" s="33">
        <v>45300.0</v>
      </c>
      <c r="F50" s="33">
        <v>45301.0</v>
      </c>
      <c r="G50" s="6" t="s">
        <v>3046</v>
      </c>
      <c r="H50" s="6" t="s">
        <v>3047</v>
      </c>
      <c r="I50" s="36">
        <v>1769.7</v>
      </c>
      <c r="J50" s="35">
        <v>2024.0</v>
      </c>
    </row>
    <row r="51" ht="15.75" customHeight="1">
      <c r="A51" s="32" t="str">
        <f t="array" ref="A51">XLOOKUP(B51, city_to_region!$B$5:$B$96, city_to_region!$A$5:$A$96)</f>
        <v>Костанайская</v>
      </c>
      <c r="B51" s="32" t="s">
        <v>3043</v>
      </c>
      <c r="C51" s="32" t="s">
        <v>3044</v>
      </c>
      <c r="D51" s="6" t="s">
        <v>3048</v>
      </c>
      <c r="E51" s="33">
        <v>45300.0</v>
      </c>
      <c r="F51" s="33">
        <v>45301.0</v>
      </c>
      <c r="G51" s="6" t="s">
        <v>3049</v>
      </c>
      <c r="H51" s="6" t="s">
        <v>3050</v>
      </c>
      <c r="I51" s="36">
        <v>2036.5</v>
      </c>
      <c r="J51" s="35">
        <v>2024.0</v>
      </c>
    </row>
    <row r="52" ht="15.75" customHeight="1">
      <c r="A52" s="32" t="str">
        <f t="array" ref="A52">XLOOKUP(B52, city_to_region!$B$5:$B$96, city_to_region!$A$5:$A$96)</f>
        <v>Костанайская</v>
      </c>
      <c r="B52" s="32" t="s">
        <v>3043</v>
      </c>
      <c r="C52" s="32" t="s">
        <v>3044</v>
      </c>
      <c r="D52" s="6" t="s">
        <v>3051</v>
      </c>
      <c r="E52" s="33">
        <v>45300.0</v>
      </c>
      <c r="F52" s="33">
        <v>45301.0</v>
      </c>
      <c r="G52" s="6" t="s">
        <v>3052</v>
      </c>
      <c r="H52" s="6" t="s">
        <v>3053</v>
      </c>
      <c r="I52" s="36">
        <v>285.8</v>
      </c>
      <c r="J52" s="35">
        <v>2024.0</v>
      </c>
    </row>
    <row r="53" ht="15.75" customHeight="1">
      <c r="A53" s="32" t="str">
        <f t="array" ref="A53">XLOOKUP(B53, city_to_region!$B$5:$B$96, city_to_region!$A$5:$A$96)</f>
        <v>Костанайская</v>
      </c>
      <c r="B53" s="32" t="s">
        <v>3043</v>
      </c>
      <c r="C53" s="32" t="s">
        <v>3044</v>
      </c>
      <c r="D53" s="6" t="s">
        <v>3054</v>
      </c>
      <c r="E53" s="33">
        <v>45300.0</v>
      </c>
      <c r="F53" s="33">
        <v>45301.0</v>
      </c>
      <c r="G53" s="6" t="s">
        <v>3055</v>
      </c>
      <c r="H53" s="6" t="s">
        <v>3056</v>
      </c>
      <c r="I53" s="36">
        <v>330.7</v>
      </c>
      <c r="J53" s="35">
        <v>2024.0</v>
      </c>
    </row>
    <row r="54" ht="15.75" customHeight="1">
      <c r="A54" s="32" t="str">
        <f t="array" ref="A54">XLOOKUP(B54, city_to_region!$B$5:$B$96, city_to_region!$A$5:$A$96)</f>
        <v>Костанайская</v>
      </c>
      <c r="B54" s="32" t="s">
        <v>3043</v>
      </c>
      <c r="C54" s="32" t="s">
        <v>3044</v>
      </c>
      <c r="D54" s="6" t="s">
        <v>3057</v>
      </c>
      <c r="E54" s="33">
        <v>45300.0</v>
      </c>
      <c r="F54" s="33">
        <v>45301.0</v>
      </c>
      <c r="G54" s="6" t="s">
        <v>3058</v>
      </c>
      <c r="H54" s="6" t="s">
        <v>3059</v>
      </c>
      <c r="I54" s="36">
        <v>6065.7</v>
      </c>
      <c r="J54" s="35">
        <v>2024.0</v>
      </c>
    </row>
    <row r="55" ht="15.75" customHeight="1">
      <c r="A55" s="32" t="str">
        <f t="array" ref="A55">XLOOKUP(B55, city_to_region!$B$5:$B$96, city_to_region!$A$5:$A$96)</f>
        <v>Костанайская</v>
      </c>
      <c r="B55" s="32" t="s">
        <v>3043</v>
      </c>
      <c r="C55" s="32" t="s">
        <v>3044</v>
      </c>
      <c r="D55" s="6" t="s">
        <v>3060</v>
      </c>
      <c r="E55" s="33">
        <v>45328.0</v>
      </c>
      <c r="F55" s="33">
        <v>45329.0</v>
      </c>
      <c r="G55" s="6" t="s">
        <v>3061</v>
      </c>
      <c r="H55" s="6" t="s">
        <v>3062</v>
      </c>
      <c r="I55" s="36">
        <v>316.2</v>
      </c>
      <c r="J55" s="35">
        <v>2024.0</v>
      </c>
    </row>
    <row r="56" ht="15.75" customHeight="1">
      <c r="A56" s="32" t="str">
        <f t="array" ref="A56">XLOOKUP(B56, city_to_region!$B$5:$B$96, city_to_region!$A$5:$A$96)</f>
        <v>Костанайская</v>
      </c>
      <c r="B56" s="32" t="s">
        <v>3043</v>
      </c>
      <c r="C56" s="32" t="s">
        <v>3044</v>
      </c>
      <c r="D56" s="6" t="s">
        <v>3063</v>
      </c>
      <c r="E56" s="33">
        <v>45328.0</v>
      </c>
      <c r="F56" s="33">
        <v>45329.0</v>
      </c>
      <c r="G56" s="6" t="s">
        <v>3064</v>
      </c>
      <c r="H56" s="6" t="s">
        <v>3065</v>
      </c>
      <c r="I56" s="36">
        <v>240.5</v>
      </c>
      <c r="J56" s="35">
        <v>2024.0</v>
      </c>
    </row>
    <row r="57" ht="15.75" customHeight="1">
      <c r="A57" s="32" t="str">
        <f t="array" ref="A57">XLOOKUP(B57, city_to_region!$B$5:$B$96, city_to_region!$A$5:$A$96)</f>
        <v>Костанайская</v>
      </c>
      <c r="B57" s="32" t="s">
        <v>3043</v>
      </c>
      <c r="C57" s="32" t="s">
        <v>3044</v>
      </c>
      <c r="D57" s="6" t="s">
        <v>3066</v>
      </c>
      <c r="E57" s="33">
        <v>45328.0</v>
      </c>
      <c r="F57" s="33">
        <v>45329.0</v>
      </c>
      <c r="G57" s="6" t="s">
        <v>3067</v>
      </c>
      <c r="H57" s="6" t="s">
        <v>3068</v>
      </c>
      <c r="I57" s="37">
        <v>2.538</v>
      </c>
      <c r="J57" s="35">
        <v>2024.0</v>
      </c>
    </row>
    <row r="58" ht="15.75" customHeight="1">
      <c r="A58" s="32" t="str">
        <f t="array" ref="A58">XLOOKUP(B58, city_to_region!$B$5:$B$96, city_to_region!$A$5:$A$96)</f>
        <v>Костанайская</v>
      </c>
      <c r="B58" s="32" t="s">
        <v>3043</v>
      </c>
      <c r="C58" s="32" t="s">
        <v>3044</v>
      </c>
      <c r="D58" s="6" t="s">
        <v>3069</v>
      </c>
      <c r="E58" s="33">
        <v>45356.0</v>
      </c>
      <c r="F58" s="33">
        <v>45356.0</v>
      </c>
      <c r="G58" s="6" t="s">
        <v>3070</v>
      </c>
      <c r="H58" s="6" t="s">
        <v>3071</v>
      </c>
      <c r="I58" s="34">
        <v>1.83</v>
      </c>
      <c r="J58" s="35">
        <v>2024.0</v>
      </c>
    </row>
    <row r="59" ht="15.75" customHeight="1">
      <c r="A59" s="32" t="str">
        <f t="array" ref="A59">XLOOKUP(B59, city_to_region!$B$5:$B$96, city_to_region!$A$5:$A$96)</f>
        <v>Костанайская</v>
      </c>
      <c r="B59" s="32" t="s">
        <v>3043</v>
      </c>
      <c r="C59" s="32" t="s">
        <v>3044</v>
      </c>
      <c r="D59" s="6" t="s">
        <v>3072</v>
      </c>
      <c r="E59" s="33">
        <v>45356.0</v>
      </c>
      <c r="F59" s="33">
        <v>45356.0</v>
      </c>
      <c r="G59" s="6" t="s">
        <v>3073</v>
      </c>
      <c r="H59" s="6" t="s">
        <v>3074</v>
      </c>
      <c r="I59" s="36">
        <v>310.1</v>
      </c>
      <c r="J59" s="35">
        <v>2024.0</v>
      </c>
    </row>
    <row r="60" ht="15.75" customHeight="1">
      <c r="A60" s="32" t="str">
        <f t="array" ref="A60">XLOOKUP(B60, city_to_region!$B$5:$B$96, city_to_region!$A$5:$A$96)</f>
        <v>Костанайская</v>
      </c>
      <c r="B60" s="32" t="s">
        <v>3043</v>
      </c>
      <c r="C60" s="32" t="s">
        <v>3044</v>
      </c>
      <c r="D60" s="6" t="s">
        <v>3075</v>
      </c>
      <c r="E60" s="33">
        <v>45356.0</v>
      </c>
      <c r="F60" s="33">
        <v>45356.0</v>
      </c>
      <c r="G60" s="6" t="s">
        <v>3076</v>
      </c>
      <c r="H60" s="6" t="s">
        <v>3077</v>
      </c>
      <c r="I60" s="36">
        <v>1734.8</v>
      </c>
      <c r="J60" s="35">
        <v>2024.0</v>
      </c>
    </row>
    <row r="61" ht="15.75" customHeight="1">
      <c r="A61" s="32" t="str">
        <f t="array" ref="A61">XLOOKUP(B61, city_to_region!$B$5:$B$96, city_to_region!$A$5:$A$96)</f>
        <v>Костанайская</v>
      </c>
      <c r="B61" s="32" t="s">
        <v>3043</v>
      </c>
      <c r="C61" s="32" t="s">
        <v>3044</v>
      </c>
      <c r="D61" s="6" t="s">
        <v>3078</v>
      </c>
      <c r="E61" s="33">
        <v>45356.0</v>
      </c>
      <c r="F61" s="33">
        <v>45356.0</v>
      </c>
      <c r="G61" s="6" t="s">
        <v>3079</v>
      </c>
      <c r="H61" s="6" t="s">
        <v>3080</v>
      </c>
      <c r="I61" s="36">
        <v>320.6</v>
      </c>
      <c r="J61" s="35">
        <v>2024.0</v>
      </c>
    </row>
    <row r="62" ht="15.75" customHeight="1">
      <c r="A62" s="32" t="str">
        <f t="array" ref="A62">XLOOKUP(B62, city_to_region!$B$5:$B$96, city_to_region!$A$5:$A$96)</f>
        <v>Костанайская</v>
      </c>
      <c r="B62" s="32" t="s">
        <v>3043</v>
      </c>
      <c r="C62" s="32" t="s">
        <v>3044</v>
      </c>
      <c r="D62" s="6" t="s">
        <v>3081</v>
      </c>
      <c r="E62" s="33">
        <v>45356.0</v>
      </c>
      <c r="F62" s="33">
        <v>45356.0</v>
      </c>
      <c r="G62" s="6" t="s">
        <v>3082</v>
      </c>
      <c r="H62" s="6" t="s">
        <v>3083</v>
      </c>
      <c r="I62" s="37">
        <v>0.82</v>
      </c>
      <c r="J62" s="35">
        <v>2024.0</v>
      </c>
    </row>
    <row r="63" ht="15.75" customHeight="1">
      <c r="A63" s="32" t="str">
        <f t="array" ref="A63">XLOOKUP(B63, city_to_region!$B$5:$B$96, city_to_region!$A$5:$A$96)</f>
        <v>Костанайская</v>
      </c>
      <c r="B63" s="32" t="s">
        <v>3043</v>
      </c>
      <c r="C63" s="32" t="s">
        <v>3044</v>
      </c>
      <c r="D63" s="6" t="s">
        <v>3084</v>
      </c>
      <c r="E63" s="33">
        <v>45356.0</v>
      </c>
      <c r="F63" s="33">
        <v>45356.0</v>
      </c>
      <c r="G63" s="6" t="s">
        <v>3085</v>
      </c>
      <c r="H63" s="6" t="s">
        <v>3086</v>
      </c>
      <c r="I63" s="34">
        <v>0.57</v>
      </c>
      <c r="J63" s="35">
        <v>2024.0</v>
      </c>
    </row>
    <row r="64" ht="15.75" customHeight="1">
      <c r="A64" s="32" t="str">
        <f t="array" ref="A64">XLOOKUP(B64, city_to_region!$B$5:$B$96, city_to_region!$A$5:$A$96)</f>
        <v>Костанайская</v>
      </c>
      <c r="B64" s="32" t="s">
        <v>3087</v>
      </c>
      <c r="C64" s="32" t="s">
        <v>3088</v>
      </c>
      <c r="D64" s="6" t="s">
        <v>3089</v>
      </c>
      <c r="E64" s="33">
        <v>45324.0</v>
      </c>
      <c r="F64" s="33">
        <v>45327.0</v>
      </c>
      <c r="G64" s="6" t="s">
        <v>3090</v>
      </c>
      <c r="H64" s="6" t="s">
        <v>3091</v>
      </c>
      <c r="I64" s="36">
        <v>499.8</v>
      </c>
      <c r="J64" s="35">
        <v>2024.0</v>
      </c>
    </row>
    <row r="65" ht="15.75" customHeight="1">
      <c r="A65" s="32" t="str">
        <f t="array" ref="A65">XLOOKUP(B65, city_to_region!$B$5:$B$96, city_to_region!$A$5:$A$96)</f>
        <v>Костанайская</v>
      </c>
      <c r="B65" s="32" t="s">
        <v>3087</v>
      </c>
      <c r="C65" s="32" t="s">
        <v>3088</v>
      </c>
      <c r="D65" s="6" t="s">
        <v>3092</v>
      </c>
      <c r="E65" s="33">
        <v>45324.0</v>
      </c>
      <c r="F65" s="33">
        <v>45327.0</v>
      </c>
      <c r="G65" s="6" t="s">
        <v>3093</v>
      </c>
      <c r="H65" s="6" t="s">
        <v>3094</v>
      </c>
      <c r="I65" s="36">
        <v>100.3</v>
      </c>
      <c r="J65" s="35">
        <v>2024.0</v>
      </c>
    </row>
    <row r="66" ht="15.75" customHeight="1">
      <c r="A66" s="32" t="str">
        <f t="array" ref="A66">XLOOKUP(B66, city_to_region!$B$5:$B$96, city_to_region!$A$5:$A$96)</f>
        <v>Костанайская</v>
      </c>
      <c r="B66" s="32" t="s">
        <v>3087</v>
      </c>
      <c r="C66" s="32" t="s">
        <v>3088</v>
      </c>
      <c r="D66" s="6" t="s">
        <v>3095</v>
      </c>
      <c r="E66" s="33">
        <v>45324.0</v>
      </c>
      <c r="F66" s="33">
        <v>45327.0</v>
      </c>
      <c r="G66" s="6" t="s">
        <v>3096</v>
      </c>
      <c r="H66" s="6" t="s">
        <v>3097</v>
      </c>
      <c r="I66" s="36">
        <v>2079.2</v>
      </c>
      <c r="J66" s="35">
        <v>2024.0</v>
      </c>
    </row>
    <row r="67" ht="15.75" customHeight="1">
      <c r="A67" s="32" t="str">
        <f t="array" ref="A67">XLOOKUP(B67, city_to_region!$B$5:$B$96, city_to_region!$A$5:$A$96)</f>
        <v>Костанайская</v>
      </c>
      <c r="B67" s="32" t="s">
        <v>3087</v>
      </c>
      <c r="C67" s="32" t="s">
        <v>3088</v>
      </c>
      <c r="D67" s="6" t="s">
        <v>3098</v>
      </c>
      <c r="E67" s="33">
        <v>45357.0</v>
      </c>
      <c r="F67" s="33">
        <v>45362.0</v>
      </c>
      <c r="G67" s="6" t="s">
        <v>3099</v>
      </c>
      <c r="H67" s="6" t="s">
        <v>3100</v>
      </c>
      <c r="I67" s="37">
        <v>0.141</v>
      </c>
      <c r="J67" s="35">
        <v>2024.0</v>
      </c>
    </row>
    <row r="68" ht="15.75" customHeight="1">
      <c r="A68" s="32" t="str">
        <f t="array" ref="A68">XLOOKUP(B68, city_to_region!$B$5:$B$96, city_to_region!$A$5:$A$96)</f>
        <v>Костанайская</v>
      </c>
      <c r="B68" s="32" t="s">
        <v>3101</v>
      </c>
      <c r="C68" s="32" t="s">
        <v>3102</v>
      </c>
      <c r="D68" s="6" t="s">
        <v>3103</v>
      </c>
      <c r="E68" s="33">
        <v>45352.0</v>
      </c>
      <c r="F68" s="33">
        <v>45355.0</v>
      </c>
      <c r="G68" s="6" t="s">
        <v>3104</v>
      </c>
      <c r="H68" s="6" t="s">
        <v>3105</v>
      </c>
      <c r="I68" s="37">
        <v>0.126</v>
      </c>
      <c r="J68" s="35">
        <v>2024.0</v>
      </c>
    </row>
    <row r="69" ht="15.75" customHeight="1">
      <c r="A69" s="32" t="str">
        <f t="array" ref="A69">XLOOKUP(B69, city_to_region!$B$5:$B$96, city_to_region!$A$5:$A$96)</f>
        <v>Костанайская</v>
      </c>
      <c r="B69" s="32" t="s">
        <v>3101</v>
      </c>
      <c r="C69" s="32" t="s">
        <v>3102</v>
      </c>
      <c r="D69" s="6" t="s">
        <v>3106</v>
      </c>
      <c r="E69" s="33">
        <v>45397.0</v>
      </c>
      <c r="F69" s="33">
        <v>45399.0</v>
      </c>
      <c r="G69" s="6" t="s">
        <v>3107</v>
      </c>
      <c r="H69" s="6" t="s">
        <v>3108</v>
      </c>
      <c r="I69" s="34">
        <v>0.37</v>
      </c>
      <c r="J69" s="35">
        <v>2024.0</v>
      </c>
    </row>
    <row r="70" ht="15.75" customHeight="1">
      <c r="A70" s="32" t="str">
        <f t="array" ref="A70">XLOOKUP(B70, city_to_region!$B$5:$B$96, city_to_region!$A$5:$A$96)</f>
        <v>Костанайская</v>
      </c>
      <c r="B70" s="32" t="s">
        <v>3101</v>
      </c>
      <c r="C70" s="32" t="s">
        <v>3102</v>
      </c>
      <c r="D70" s="6" t="s">
        <v>3109</v>
      </c>
      <c r="E70" s="33">
        <v>45454.0</v>
      </c>
      <c r="F70" s="33">
        <v>45456.0</v>
      </c>
      <c r="G70" s="6" t="s">
        <v>3110</v>
      </c>
      <c r="H70" s="6" t="s">
        <v>3111</v>
      </c>
      <c r="I70" s="37">
        <v>0.14</v>
      </c>
      <c r="J70" s="35">
        <v>2024.0</v>
      </c>
    </row>
    <row r="71" ht="15.75" customHeight="1">
      <c r="A71" s="32" t="str">
        <f t="array" ref="A71">XLOOKUP(B71, city_to_region!$B$5:$B$96, city_to_region!$A$5:$A$96)</f>
        <v>Акмолинская</v>
      </c>
      <c r="B71" s="32" t="s">
        <v>3112</v>
      </c>
      <c r="C71" s="32" t="s">
        <v>3113</v>
      </c>
      <c r="D71" s="6" t="s">
        <v>3114</v>
      </c>
      <c r="E71" s="33">
        <v>45337.0</v>
      </c>
      <c r="F71" s="33">
        <v>45341.0</v>
      </c>
      <c r="G71" s="6" t="s">
        <v>3115</v>
      </c>
      <c r="H71" s="6" t="s">
        <v>3116</v>
      </c>
      <c r="I71" s="38">
        <v>535.0</v>
      </c>
      <c r="J71" s="35">
        <v>2024.0</v>
      </c>
    </row>
    <row r="72" ht="15.75" customHeight="1">
      <c r="A72" s="32" t="str">
        <f t="array" ref="A72">XLOOKUP(B72, city_to_region!$B$5:$B$96, city_to_region!$A$5:$A$96)</f>
        <v>Акмолинская</v>
      </c>
      <c r="B72" s="32" t="s">
        <v>3112</v>
      </c>
      <c r="C72" s="32" t="s">
        <v>3113</v>
      </c>
      <c r="D72" s="6" t="s">
        <v>3117</v>
      </c>
      <c r="E72" s="33">
        <v>45644.0</v>
      </c>
      <c r="F72" s="33">
        <v>45646.0</v>
      </c>
      <c r="G72" s="6" t="s">
        <v>3118</v>
      </c>
      <c r="H72" s="6" t="s">
        <v>3119</v>
      </c>
      <c r="I72" s="36">
        <v>415.0</v>
      </c>
      <c r="J72" s="35">
        <v>2024.0</v>
      </c>
    </row>
    <row r="73" ht="15.75" customHeight="1">
      <c r="A73" s="32" t="str">
        <f t="array" ref="A73">XLOOKUP(B73, city_to_region!$B$5:$B$96, city_to_region!$A$5:$A$96)</f>
        <v>Карагандинская</v>
      </c>
      <c r="B73" s="32" t="s">
        <v>3120</v>
      </c>
      <c r="C73" s="32" t="s">
        <v>3121</v>
      </c>
      <c r="D73" s="6" t="s">
        <v>3122</v>
      </c>
      <c r="E73" s="33">
        <v>45383.0</v>
      </c>
      <c r="F73" s="33">
        <v>45387.0</v>
      </c>
      <c r="G73" s="6" t="s">
        <v>3123</v>
      </c>
      <c r="H73" s="6" t="s">
        <v>3124</v>
      </c>
      <c r="I73" s="34">
        <v>1.05</v>
      </c>
      <c r="J73" s="35">
        <v>2024.0</v>
      </c>
    </row>
    <row r="74" ht="15.75" customHeight="1">
      <c r="A74" s="32" t="str">
        <f t="array" ref="A74">XLOOKUP(B74, city_to_region!$B$5:$B$96, city_to_region!$A$5:$A$96)</f>
        <v>Карагандинская</v>
      </c>
      <c r="B74" s="32" t="s">
        <v>3120</v>
      </c>
      <c r="C74" s="32" t="s">
        <v>3121</v>
      </c>
      <c r="D74" s="6" t="s">
        <v>3125</v>
      </c>
      <c r="E74" s="33">
        <v>45386.0</v>
      </c>
      <c r="F74" s="33">
        <v>45387.0</v>
      </c>
      <c r="G74" s="6" t="s">
        <v>3126</v>
      </c>
      <c r="H74" s="6" t="s">
        <v>3127</v>
      </c>
      <c r="I74" s="34">
        <v>0.69</v>
      </c>
      <c r="J74" s="35">
        <v>2024.0</v>
      </c>
    </row>
    <row r="75" ht="15.75" customHeight="1">
      <c r="A75" s="32" t="str">
        <f t="array" ref="A75">XLOOKUP(B75, city_to_region!$B$5:$B$96, city_to_region!$A$5:$A$96)</f>
        <v>Карагандинская</v>
      </c>
      <c r="B75" s="32" t="s">
        <v>3120</v>
      </c>
      <c r="C75" s="32" t="s">
        <v>3121</v>
      </c>
      <c r="D75" s="6" t="s">
        <v>3128</v>
      </c>
      <c r="E75" s="33">
        <v>45398.0</v>
      </c>
      <c r="F75" s="33">
        <v>45404.0</v>
      </c>
      <c r="G75" s="6" t="s">
        <v>3129</v>
      </c>
      <c r="H75" s="6" t="s">
        <v>3130</v>
      </c>
      <c r="I75" s="34">
        <v>0.36</v>
      </c>
      <c r="J75" s="35">
        <v>2024.0</v>
      </c>
    </row>
    <row r="76" ht="15.75" customHeight="1">
      <c r="A76" s="32" t="str">
        <f t="array" ref="A76">XLOOKUP(B76, city_to_region!$B$5:$B$96, city_to_region!$A$5:$A$96)</f>
        <v>Карагандинская</v>
      </c>
      <c r="B76" s="32" t="s">
        <v>3120</v>
      </c>
      <c r="C76" s="32" t="s">
        <v>3121</v>
      </c>
      <c r="D76" s="6" t="s">
        <v>3131</v>
      </c>
      <c r="E76" s="33">
        <v>45483.0</v>
      </c>
      <c r="F76" s="33">
        <v>45485.0</v>
      </c>
      <c r="G76" s="6" t="s">
        <v>3132</v>
      </c>
      <c r="H76" s="6" t="s">
        <v>3133</v>
      </c>
      <c r="I76" s="37">
        <v>0.108</v>
      </c>
      <c r="J76" s="35">
        <v>2024.0</v>
      </c>
    </row>
    <row r="77" ht="15.75" customHeight="1">
      <c r="A77" s="32" t="str">
        <f t="array" ref="A77">XLOOKUP(B77, city_to_region!$B$5:$B$96, city_to_region!$A$5:$A$96)</f>
        <v>Карагандинская</v>
      </c>
      <c r="B77" s="32" t="s">
        <v>3120</v>
      </c>
      <c r="C77" s="32" t="s">
        <v>3121</v>
      </c>
      <c r="D77" s="6" t="s">
        <v>3134</v>
      </c>
      <c r="E77" s="33">
        <v>45511.0</v>
      </c>
      <c r="F77" s="33">
        <v>45513.0</v>
      </c>
      <c r="G77" s="6" t="s">
        <v>3135</v>
      </c>
      <c r="H77" s="6" t="s">
        <v>3136</v>
      </c>
      <c r="I77" s="37">
        <v>0.115</v>
      </c>
      <c r="J77" s="35">
        <v>2024.0</v>
      </c>
    </row>
    <row r="78" ht="15.75" customHeight="1">
      <c r="A78" s="32" t="str">
        <f t="array" ref="A78">XLOOKUP(B78, city_to_region!$B$5:$B$96, city_to_region!$A$5:$A$96)</f>
        <v>Карагандинская</v>
      </c>
      <c r="B78" s="32" t="s">
        <v>2793</v>
      </c>
      <c r="C78" s="32" t="s">
        <v>3137</v>
      </c>
      <c r="D78" s="6" t="s">
        <v>3138</v>
      </c>
      <c r="E78" s="33">
        <v>45384.0</v>
      </c>
      <c r="F78" s="33">
        <v>45387.0</v>
      </c>
      <c r="G78" s="6" t="s">
        <v>3139</v>
      </c>
      <c r="H78" s="6" t="s">
        <v>3140</v>
      </c>
      <c r="I78" s="34">
        <v>0.72</v>
      </c>
      <c r="J78" s="35">
        <v>2024.0</v>
      </c>
    </row>
    <row r="79" ht="15.75" customHeight="1">
      <c r="A79" s="32" t="str">
        <f t="array" ref="A79">XLOOKUP(B79, city_to_region!$B$5:$B$96, city_to_region!$A$5:$A$96)</f>
        <v>Карагандинская</v>
      </c>
      <c r="B79" s="32" t="s">
        <v>2793</v>
      </c>
      <c r="C79" s="32" t="s">
        <v>3137</v>
      </c>
      <c r="D79" s="6" t="s">
        <v>3141</v>
      </c>
      <c r="E79" s="33">
        <v>45390.0</v>
      </c>
      <c r="F79" s="6" t="s">
        <v>3142</v>
      </c>
      <c r="G79" s="6" t="s">
        <v>3143</v>
      </c>
      <c r="H79" s="6" t="s">
        <v>3144</v>
      </c>
      <c r="I79" s="34">
        <v>0.69</v>
      </c>
      <c r="J79" s="35">
        <v>2024.0</v>
      </c>
    </row>
    <row r="80" ht="15.75" customHeight="1">
      <c r="A80" s="32" t="str">
        <f t="array" ref="A80">XLOOKUP(B80, city_to_region!$B$5:$B$96, city_to_region!$A$5:$A$96)</f>
        <v>Карагандинская</v>
      </c>
      <c r="B80" s="32" t="s">
        <v>2793</v>
      </c>
      <c r="C80" s="32" t="s">
        <v>3137</v>
      </c>
      <c r="D80" s="6" t="s">
        <v>3145</v>
      </c>
      <c r="E80" s="33">
        <v>45399.0</v>
      </c>
      <c r="F80" s="33">
        <v>45404.0</v>
      </c>
      <c r="G80" s="6" t="s">
        <v>3146</v>
      </c>
      <c r="H80" s="6" t="s">
        <v>3147</v>
      </c>
      <c r="I80" s="34">
        <v>0.54</v>
      </c>
      <c r="J80" s="35">
        <v>2024.0</v>
      </c>
    </row>
    <row r="81" ht="15.75" customHeight="1">
      <c r="A81" s="32" t="str">
        <f t="array" ref="A81">XLOOKUP(B81, city_to_region!$B$5:$B$96, city_to_region!$A$5:$A$96)</f>
        <v>Карагандинская</v>
      </c>
      <c r="B81" s="32" t="s">
        <v>2793</v>
      </c>
      <c r="C81" s="32" t="s">
        <v>3137</v>
      </c>
      <c r="D81" s="6" t="s">
        <v>3148</v>
      </c>
      <c r="E81" s="33">
        <v>45483.0</v>
      </c>
      <c r="F81" s="33">
        <v>45485.0</v>
      </c>
      <c r="G81" s="6" t="s">
        <v>3149</v>
      </c>
      <c r="H81" s="6" t="s">
        <v>3150</v>
      </c>
      <c r="I81" s="37">
        <v>0.131</v>
      </c>
      <c r="J81" s="35">
        <v>2024.0</v>
      </c>
    </row>
    <row r="82" ht="15.75" customHeight="1">
      <c r="A82" s="32" t="str">
        <f t="array" ref="A82">XLOOKUP(B82, city_to_region!$B$5:$B$96, city_to_region!$A$5:$A$96)</f>
        <v>Карагандинская</v>
      </c>
      <c r="B82" s="32" t="s">
        <v>2793</v>
      </c>
      <c r="C82" s="32" t="s">
        <v>3137</v>
      </c>
      <c r="D82" s="6" t="s">
        <v>3151</v>
      </c>
      <c r="E82" s="33">
        <v>45483.0</v>
      </c>
      <c r="F82" s="33">
        <v>45485.0</v>
      </c>
      <c r="G82" s="6" t="s">
        <v>3152</v>
      </c>
      <c r="H82" s="6" t="s">
        <v>3153</v>
      </c>
      <c r="I82" s="34">
        <v>0.45</v>
      </c>
      <c r="J82" s="35">
        <v>2024.0</v>
      </c>
    </row>
    <row r="83" ht="15.75" customHeight="1">
      <c r="A83" s="32" t="str">
        <f t="array" ref="A83">XLOOKUP(B83, city_to_region!$B$5:$B$96, city_to_region!$A$5:$A$96)</f>
        <v>Карагандинская</v>
      </c>
      <c r="B83" s="32" t="s">
        <v>2793</v>
      </c>
      <c r="C83" s="32" t="s">
        <v>3154</v>
      </c>
      <c r="D83" s="6" t="s">
        <v>3155</v>
      </c>
      <c r="E83" s="33">
        <v>45384.0</v>
      </c>
      <c r="F83" s="33">
        <v>45387.0</v>
      </c>
      <c r="G83" s="6" t="s">
        <v>3156</v>
      </c>
      <c r="H83" s="6" t="s">
        <v>3157</v>
      </c>
      <c r="I83" s="34">
        <v>0.77</v>
      </c>
      <c r="J83" s="35">
        <v>2024.0</v>
      </c>
    </row>
    <row r="84" ht="15.75" customHeight="1">
      <c r="A84" s="32" t="str">
        <f t="array" ref="A84">XLOOKUP(B84, city_to_region!$B$5:$B$96, city_to_region!$A$5:$A$96)</f>
        <v>Карагандинская</v>
      </c>
      <c r="B84" s="32" t="s">
        <v>2793</v>
      </c>
      <c r="C84" s="32" t="s">
        <v>3158</v>
      </c>
      <c r="D84" s="6" t="s">
        <v>3159</v>
      </c>
      <c r="E84" s="33">
        <v>45390.0</v>
      </c>
      <c r="F84" s="33">
        <v>45394.0</v>
      </c>
      <c r="G84" s="6" t="s">
        <v>3160</v>
      </c>
      <c r="H84" s="6" t="s">
        <v>3161</v>
      </c>
      <c r="I84" s="34">
        <v>0.78</v>
      </c>
      <c r="J84" s="35">
        <v>2024.0</v>
      </c>
    </row>
    <row r="85" ht="15.75" customHeight="1">
      <c r="A85" s="32" t="str">
        <f t="array" ref="A85">XLOOKUP(B85, city_to_region!$B$5:$B$96, city_to_region!$A$5:$A$96)</f>
        <v>Карагандинская</v>
      </c>
      <c r="B85" s="32" t="s">
        <v>2793</v>
      </c>
      <c r="C85" s="32" t="s">
        <v>3162</v>
      </c>
      <c r="D85" s="6" t="s">
        <v>3163</v>
      </c>
      <c r="E85" s="33">
        <v>45399.0</v>
      </c>
      <c r="F85" s="33">
        <v>45404.0</v>
      </c>
      <c r="G85" s="6" t="s">
        <v>3164</v>
      </c>
      <c r="H85" s="6" t="s">
        <v>3165</v>
      </c>
      <c r="I85" s="34">
        <v>0.49</v>
      </c>
      <c r="J85" s="35">
        <v>2024.0</v>
      </c>
    </row>
    <row r="86" ht="15.75" customHeight="1">
      <c r="A86" s="32" t="str">
        <f t="array" ref="A86">XLOOKUP(B86, city_to_region!$B$5:$B$96, city_to_region!$A$5:$A$96)</f>
        <v>Карагандинская</v>
      </c>
      <c r="B86" s="32" t="s">
        <v>2793</v>
      </c>
      <c r="C86" s="32" t="s">
        <v>3166</v>
      </c>
      <c r="D86" s="6" t="s">
        <v>3167</v>
      </c>
      <c r="E86" s="33">
        <v>45427.0</v>
      </c>
      <c r="F86" s="33">
        <v>45428.0</v>
      </c>
      <c r="G86" s="6" t="s">
        <v>3168</v>
      </c>
      <c r="H86" s="6" t="s">
        <v>3169</v>
      </c>
      <c r="I86" s="34">
        <v>0.53</v>
      </c>
      <c r="J86" s="35">
        <v>2024.0</v>
      </c>
    </row>
    <row r="87" ht="15.75" customHeight="1">
      <c r="A87" s="32" t="str">
        <f t="array" ref="A87">XLOOKUP(B87, city_to_region!$B$5:$B$96, city_to_region!$A$5:$A$96)</f>
        <v>Карагандинская</v>
      </c>
      <c r="B87" s="32" t="s">
        <v>2793</v>
      </c>
      <c r="C87" s="32" t="s">
        <v>3170</v>
      </c>
      <c r="D87" s="6" t="s">
        <v>3171</v>
      </c>
      <c r="E87" s="33">
        <v>45483.0</v>
      </c>
      <c r="F87" s="33">
        <v>45485.0</v>
      </c>
      <c r="G87" s="6" t="s">
        <v>3172</v>
      </c>
      <c r="H87" s="6" t="s">
        <v>3173</v>
      </c>
      <c r="I87" s="37">
        <v>0.152</v>
      </c>
      <c r="J87" s="35">
        <v>2024.0</v>
      </c>
    </row>
    <row r="88" ht="15.75" customHeight="1">
      <c r="A88" s="32" t="str">
        <f t="array" ref="A88">XLOOKUP(B88, city_to_region!$B$5:$B$96, city_to_region!$A$5:$A$96)</f>
        <v>Карагандинская</v>
      </c>
      <c r="B88" s="32" t="s">
        <v>2793</v>
      </c>
      <c r="C88" s="32" t="s">
        <v>3174</v>
      </c>
      <c r="D88" s="6" t="s">
        <v>3175</v>
      </c>
      <c r="E88" s="33">
        <v>45483.0</v>
      </c>
      <c r="F88" s="33">
        <v>45485.0</v>
      </c>
      <c r="G88" s="6" t="s">
        <v>3176</v>
      </c>
      <c r="H88" s="6" t="s">
        <v>3177</v>
      </c>
      <c r="I88" s="34">
        <v>0.42</v>
      </c>
      <c r="J88" s="35">
        <v>2024.0</v>
      </c>
    </row>
    <row r="89" ht="15.75" customHeight="1">
      <c r="A89" s="32" t="str">
        <f t="array" ref="A89">XLOOKUP(B89, city_to_region!$B$5:$B$96, city_to_region!$A$5:$A$96)</f>
        <v>Карагандинская</v>
      </c>
      <c r="B89" s="32" t="s">
        <v>2793</v>
      </c>
      <c r="C89" s="32" t="s">
        <v>3178</v>
      </c>
      <c r="D89" s="6" t="s">
        <v>3179</v>
      </c>
      <c r="E89" s="33">
        <v>45384.0</v>
      </c>
      <c r="F89" s="33">
        <v>45387.0</v>
      </c>
      <c r="G89" s="6" t="s">
        <v>3180</v>
      </c>
      <c r="H89" s="6" t="s">
        <v>3181</v>
      </c>
      <c r="I89" s="34">
        <v>0.77</v>
      </c>
      <c r="J89" s="35">
        <v>2024.0</v>
      </c>
    </row>
    <row r="90" ht="15.75" customHeight="1">
      <c r="A90" s="32" t="str">
        <f t="array" ref="A90">XLOOKUP(B90, city_to_region!$B$5:$B$96, city_to_region!$A$5:$A$96)</f>
        <v>Карагандинская</v>
      </c>
      <c r="B90" s="32" t="s">
        <v>2793</v>
      </c>
      <c r="C90" s="32" t="s">
        <v>3182</v>
      </c>
      <c r="D90" s="6" t="s">
        <v>3183</v>
      </c>
      <c r="E90" s="33">
        <v>45390.0</v>
      </c>
      <c r="F90" s="33">
        <v>45394.0</v>
      </c>
      <c r="G90" s="6" t="s">
        <v>3184</v>
      </c>
      <c r="H90" s="6" t="s">
        <v>3185</v>
      </c>
      <c r="I90" s="34">
        <v>0.9</v>
      </c>
      <c r="J90" s="35">
        <v>2024.0</v>
      </c>
    </row>
    <row r="91" ht="15.75" customHeight="1">
      <c r="A91" s="32" t="str">
        <f t="array" ref="A91">XLOOKUP(B91, city_to_region!$B$5:$B$96, city_to_region!$A$5:$A$96)</f>
        <v>Карагандинская</v>
      </c>
      <c r="B91" s="32" t="s">
        <v>2793</v>
      </c>
      <c r="C91" s="32" t="s">
        <v>3186</v>
      </c>
      <c r="D91" s="6" t="s">
        <v>3187</v>
      </c>
      <c r="E91" s="33">
        <v>45399.0</v>
      </c>
      <c r="F91" s="33">
        <v>45404.0</v>
      </c>
      <c r="G91" s="6" t="s">
        <v>3188</v>
      </c>
      <c r="H91" s="6" t="s">
        <v>3189</v>
      </c>
      <c r="I91" s="34">
        <v>0.55</v>
      </c>
      <c r="J91" s="35">
        <v>2024.0</v>
      </c>
    </row>
    <row r="92" ht="15.75" customHeight="1">
      <c r="A92" s="32" t="str">
        <f t="array" ref="A92">XLOOKUP(B92, city_to_region!$B$5:$B$96, city_to_region!$A$5:$A$96)</f>
        <v>Карагандинская</v>
      </c>
      <c r="B92" s="32" t="s">
        <v>2793</v>
      </c>
      <c r="C92" s="32" t="s">
        <v>3190</v>
      </c>
      <c r="D92" s="6" t="s">
        <v>3191</v>
      </c>
      <c r="E92" s="33">
        <v>45483.0</v>
      </c>
      <c r="F92" s="33">
        <v>45485.0</v>
      </c>
      <c r="G92" s="6" t="s">
        <v>3192</v>
      </c>
      <c r="H92" s="6" t="s">
        <v>3193</v>
      </c>
      <c r="I92" s="37">
        <v>0.154</v>
      </c>
      <c r="J92" s="35">
        <v>2024.0</v>
      </c>
    </row>
    <row r="93" ht="15.75" customHeight="1">
      <c r="A93" s="32" t="str">
        <f t="array" ref="A93">XLOOKUP(B93, city_to_region!$B$5:$B$96, city_to_region!$A$5:$A$96)</f>
        <v>Карагандинская</v>
      </c>
      <c r="B93" s="32" t="s">
        <v>2793</v>
      </c>
      <c r="C93" s="32" t="s">
        <v>3194</v>
      </c>
      <c r="D93" s="6" t="s">
        <v>3195</v>
      </c>
      <c r="E93" s="33">
        <v>45483.0</v>
      </c>
      <c r="F93" s="33">
        <v>45485.0</v>
      </c>
      <c r="G93" s="6" t="s">
        <v>3196</v>
      </c>
      <c r="H93" s="6" t="s">
        <v>3197</v>
      </c>
      <c r="I93" s="34">
        <v>0.38</v>
      </c>
      <c r="J93" s="35">
        <v>2024.0</v>
      </c>
    </row>
    <row r="94" ht="15.75" customHeight="1">
      <c r="A94" s="32" t="str">
        <f t="array" ref="A94">XLOOKUP(B94, city_to_region!$B$5:$B$96, city_to_region!$A$5:$A$96)</f>
        <v>Карагандинская</v>
      </c>
      <c r="B94" s="32" t="s">
        <v>3198</v>
      </c>
      <c r="C94" s="32" t="s">
        <v>3199</v>
      </c>
      <c r="D94" s="6" t="s">
        <v>3200</v>
      </c>
      <c r="E94" s="33">
        <v>45516.0</v>
      </c>
      <c r="F94" s="33">
        <v>45523.0</v>
      </c>
      <c r="G94" s="6" t="s">
        <v>3201</v>
      </c>
      <c r="H94" s="6" t="s">
        <v>3202</v>
      </c>
      <c r="I94" s="37">
        <v>0.229</v>
      </c>
      <c r="J94" s="35">
        <v>2024.0</v>
      </c>
    </row>
    <row r="95" ht="22.5" customHeight="1">
      <c r="A95" s="32" t="str">
        <f t="array" ref="A95">XLOOKUP(B95, city_to_region!$B$5:$B$96, city_to_region!$A$5:$A$96)</f>
        <v>Карагандинская</v>
      </c>
      <c r="B95" s="32" t="s">
        <v>3198</v>
      </c>
      <c r="C95" s="32" t="s">
        <v>3199</v>
      </c>
      <c r="D95" s="6" t="s">
        <v>3203</v>
      </c>
      <c r="E95" s="33">
        <v>45544.0</v>
      </c>
      <c r="F95" s="33">
        <v>45554.0</v>
      </c>
      <c r="G95" s="6" t="s">
        <v>3204</v>
      </c>
      <c r="H95" s="6" t="s">
        <v>3205</v>
      </c>
      <c r="I95" s="37">
        <v>0.168</v>
      </c>
      <c r="J95" s="35">
        <v>2024.0</v>
      </c>
    </row>
    <row r="96" ht="15.75" customHeight="1">
      <c r="A96" s="32" t="str">
        <f t="array" ref="A96">XLOOKUP(B96, city_to_region!$B$5:$B$96, city_to_region!$A$5:$A$96)</f>
        <v>Карагандинская</v>
      </c>
      <c r="B96" s="32" t="s">
        <v>3206</v>
      </c>
      <c r="C96" s="32" t="s">
        <v>3207</v>
      </c>
      <c r="D96" s="6" t="s">
        <v>3208</v>
      </c>
      <c r="E96" s="33">
        <v>45385.0</v>
      </c>
      <c r="F96" s="33">
        <v>45387.0</v>
      </c>
      <c r="G96" s="6" t="s">
        <v>3209</v>
      </c>
      <c r="H96" s="6" t="s">
        <v>3210</v>
      </c>
      <c r="I96" s="34">
        <v>0.48</v>
      </c>
      <c r="J96" s="35">
        <v>2024.0</v>
      </c>
    </row>
    <row r="97" ht="15.75" customHeight="1">
      <c r="A97" s="32" t="str">
        <f t="array" ref="A97">XLOOKUP(B97, city_to_region!$B$5:$B$96, city_to_region!$A$5:$A$96)</f>
        <v>Карагандинская</v>
      </c>
      <c r="B97" s="32" t="s">
        <v>3206</v>
      </c>
      <c r="C97" s="32" t="s">
        <v>3207</v>
      </c>
      <c r="D97" s="6" t="s">
        <v>3211</v>
      </c>
      <c r="E97" s="33">
        <v>45392.0</v>
      </c>
      <c r="F97" s="33">
        <v>45394.0</v>
      </c>
      <c r="G97" s="6" t="s">
        <v>3212</v>
      </c>
      <c r="H97" s="6" t="s">
        <v>3213</v>
      </c>
      <c r="I97" s="34">
        <v>0.61</v>
      </c>
      <c r="J97" s="35">
        <v>2024.0</v>
      </c>
    </row>
    <row r="98" ht="15.75" customHeight="1">
      <c r="A98" s="32" t="str">
        <f t="array" ref="A98">XLOOKUP(B98, city_to_region!$B$5:$B$96, city_to_region!$A$5:$A$96)</f>
        <v>Карагандинская</v>
      </c>
      <c r="B98" s="32" t="s">
        <v>3206</v>
      </c>
      <c r="C98" s="32" t="s">
        <v>3207</v>
      </c>
      <c r="D98" s="6" t="s">
        <v>3214</v>
      </c>
      <c r="E98" s="33">
        <v>45404.0</v>
      </c>
      <c r="F98" s="33">
        <v>45407.0</v>
      </c>
      <c r="G98" s="6" t="s">
        <v>3215</v>
      </c>
      <c r="H98" s="6" t="s">
        <v>3216</v>
      </c>
      <c r="I98" s="34">
        <v>0.58</v>
      </c>
      <c r="J98" s="35">
        <v>2024.0</v>
      </c>
    </row>
    <row r="99" ht="15.75" customHeight="1">
      <c r="A99" s="32" t="str">
        <f t="array" ref="A99">XLOOKUP(B99, city_to_region!$B$5:$B$96, city_to_region!$A$5:$A$96)</f>
        <v>Карагандинская</v>
      </c>
      <c r="B99" s="32" t="s">
        <v>3206</v>
      </c>
      <c r="C99" s="32" t="s">
        <v>3207</v>
      </c>
      <c r="D99" s="6" t="s">
        <v>3217</v>
      </c>
      <c r="E99" s="33">
        <v>45488.0</v>
      </c>
      <c r="F99" s="33">
        <v>45498.0</v>
      </c>
      <c r="G99" s="6" t="s">
        <v>3218</v>
      </c>
      <c r="H99" s="6" t="s">
        <v>3219</v>
      </c>
      <c r="I99" s="37">
        <v>0.18</v>
      </c>
      <c r="J99" s="35">
        <v>2024.0</v>
      </c>
    </row>
    <row r="100" ht="15.75" customHeight="1">
      <c r="A100" s="32" t="str">
        <f t="array" ref="A100">XLOOKUP(B100, city_to_region!$B$5:$B$96, city_to_region!$A$5:$A$96)</f>
        <v>Карагандинская</v>
      </c>
      <c r="B100" s="32" t="s">
        <v>3206</v>
      </c>
      <c r="C100" s="32" t="s">
        <v>3207</v>
      </c>
      <c r="D100" s="6" t="s">
        <v>3220</v>
      </c>
      <c r="E100" s="33">
        <v>45488.0</v>
      </c>
      <c r="F100" s="33">
        <v>45498.0</v>
      </c>
      <c r="G100" s="6" t="s">
        <v>3221</v>
      </c>
      <c r="H100" s="6" t="s">
        <v>3222</v>
      </c>
      <c r="I100" s="34">
        <v>0.57</v>
      </c>
      <c r="J100" s="35">
        <v>2024.0</v>
      </c>
    </row>
    <row r="101" ht="15.75" customHeight="1">
      <c r="A101" s="32" t="str">
        <f t="array" ref="A101">XLOOKUP(B101, city_to_region!$B$5:$B$96, city_to_region!$A$5:$A$96)</f>
        <v>Карагандинская</v>
      </c>
      <c r="B101" s="32" t="s">
        <v>3206</v>
      </c>
      <c r="C101" s="32" t="s">
        <v>3207</v>
      </c>
      <c r="D101" s="6" t="s">
        <v>3223</v>
      </c>
      <c r="E101" s="33">
        <v>45516.0</v>
      </c>
      <c r="F101" s="33">
        <v>45523.0</v>
      </c>
      <c r="G101" s="6" t="s">
        <v>3224</v>
      </c>
      <c r="H101" s="6" t="s">
        <v>3225</v>
      </c>
      <c r="I101" s="37">
        <v>0.154</v>
      </c>
      <c r="J101" s="35">
        <v>2024.0</v>
      </c>
    </row>
    <row r="102" ht="15.75" customHeight="1">
      <c r="A102" s="32" t="str">
        <f t="array" ref="A102">XLOOKUP(B102, city_to_region!$B$5:$B$96, city_to_region!$A$5:$A$96)</f>
        <v>Карагандинская</v>
      </c>
      <c r="B102" s="32" t="s">
        <v>3206</v>
      </c>
      <c r="C102" s="32" t="s">
        <v>3207</v>
      </c>
      <c r="D102" s="6" t="s">
        <v>3226</v>
      </c>
      <c r="E102" s="33">
        <v>45516.0</v>
      </c>
      <c r="F102" s="33">
        <v>45523.0</v>
      </c>
      <c r="G102" s="6" t="s">
        <v>3227</v>
      </c>
      <c r="H102" s="6" t="s">
        <v>3228</v>
      </c>
      <c r="I102" s="34">
        <v>0.41</v>
      </c>
      <c r="J102" s="35">
        <v>2024.0</v>
      </c>
    </row>
    <row r="103" ht="15.75" customHeight="1">
      <c r="A103" s="32" t="str">
        <f t="array" ref="A103">XLOOKUP(B103, city_to_region!$B$5:$B$96, city_to_region!$A$5:$A$96)</f>
        <v>Карагандинская</v>
      </c>
      <c r="B103" s="32" t="s">
        <v>3206</v>
      </c>
      <c r="C103" s="32" t="s">
        <v>3207</v>
      </c>
      <c r="D103" s="6" t="s">
        <v>3229</v>
      </c>
      <c r="E103" s="33">
        <v>45544.0</v>
      </c>
      <c r="F103" s="33">
        <v>45554.0</v>
      </c>
      <c r="G103" s="6" t="s">
        <v>3230</v>
      </c>
      <c r="H103" s="6" t="s">
        <v>3231</v>
      </c>
      <c r="I103" s="34">
        <v>0.44</v>
      </c>
      <c r="J103" s="35">
        <v>2024.0</v>
      </c>
    </row>
    <row r="104" ht="15.75" customHeight="1">
      <c r="A104" s="32" t="str">
        <f t="array" ref="A104">XLOOKUP(B104, city_to_region!$B$5:$B$96, city_to_region!$A$5:$A$96)</f>
        <v>Карагандинская</v>
      </c>
      <c r="B104" s="21" t="s">
        <v>3232</v>
      </c>
      <c r="C104" s="32" t="s">
        <v>3233</v>
      </c>
      <c r="D104" s="6" t="s">
        <v>3234</v>
      </c>
      <c r="E104" s="33">
        <v>45483.0</v>
      </c>
      <c r="F104" s="33">
        <v>45485.0</v>
      </c>
      <c r="G104" s="6" t="s">
        <v>3235</v>
      </c>
      <c r="H104" s="6" t="s">
        <v>3236</v>
      </c>
      <c r="I104" s="37">
        <v>0.187</v>
      </c>
      <c r="J104" s="35">
        <v>2024.0</v>
      </c>
    </row>
    <row r="105" ht="15.75" customHeight="1">
      <c r="A105" s="32" t="str">
        <f t="array" ref="A105">XLOOKUP(B105, city_to_region!$B$5:$B$96, city_to_region!$A$5:$A$96)</f>
        <v>Карагандинская</v>
      </c>
      <c r="B105" s="21" t="s">
        <v>3237</v>
      </c>
      <c r="C105" s="32" t="s">
        <v>3238</v>
      </c>
      <c r="D105" s="6" t="s">
        <v>3239</v>
      </c>
      <c r="E105" s="33">
        <v>45488.0</v>
      </c>
      <c r="F105" s="33">
        <v>45498.0</v>
      </c>
      <c r="G105" s="6" t="s">
        <v>3240</v>
      </c>
      <c r="H105" s="6" t="s">
        <v>3241</v>
      </c>
      <c r="I105" s="37">
        <v>0.168</v>
      </c>
      <c r="J105" s="35">
        <v>2024.0</v>
      </c>
    </row>
    <row r="106" ht="15.75" customHeight="1">
      <c r="A106" s="32" t="str">
        <f t="array" ref="A106">XLOOKUP(B106, city_to_region!$B$5:$B$96, city_to_region!$A$5:$A$96)</f>
        <v>Карагандинская</v>
      </c>
      <c r="B106" s="21" t="s">
        <v>3237</v>
      </c>
      <c r="C106" s="32" t="s">
        <v>3238</v>
      </c>
      <c r="D106" s="6" t="s">
        <v>3242</v>
      </c>
      <c r="E106" s="33">
        <v>45516.0</v>
      </c>
      <c r="F106" s="33">
        <v>45523.0</v>
      </c>
      <c r="G106" s="6" t="s">
        <v>3243</v>
      </c>
      <c r="H106" s="6" t="s">
        <v>3244</v>
      </c>
      <c r="I106" s="37">
        <v>0.153</v>
      </c>
      <c r="J106" s="35">
        <v>2024.0</v>
      </c>
    </row>
    <row r="107" ht="15.75" customHeight="1">
      <c r="A107" s="32" t="str">
        <f t="array" ref="A107">XLOOKUP(B107, city_to_region!$B$5:$B$96, city_to_region!$A$5:$A$96)</f>
        <v>Акмолинская</v>
      </c>
      <c r="B107" s="21" t="s">
        <v>3245</v>
      </c>
      <c r="C107" s="32" t="s">
        <v>3246</v>
      </c>
      <c r="D107" s="6" t="s">
        <v>3247</v>
      </c>
      <c r="E107" s="33">
        <v>45610.0</v>
      </c>
      <c r="F107" s="33">
        <v>45616.0</v>
      </c>
      <c r="G107" s="6" t="s">
        <v>3248</v>
      </c>
      <c r="H107" s="6" t="s">
        <v>3249</v>
      </c>
      <c r="I107" s="37">
        <v>0.158</v>
      </c>
      <c r="J107" s="35">
        <v>2024.0</v>
      </c>
    </row>
    <row r="108" ht="15.75" customHeight="1">
      <c r="A108" s="32" t="str">
        <f t="array" ref="A108">XLOOKUP(B108, city_to_region!$B$5:$B$96, city_to_region!$A$5:$A$96)</f>
        <v>Акмолинская</v>
      </c>
      <c r="B108" s="21" t="s">
        <v>3245</v>
      </c>
      <c r="C108" s="32" t="s">
        <v>3246</v>
      </c>
      <c r="D108" s="6" t="s">
        <v>3250</v>
      </c>
      <c r="E108" s="33">
        <v>45644.0</v>
      </c>
      <c r="F108" s="33">
        <v>45650.0</v>
      </c>
      <c r="G108" s="6" t="s">
        <v>3251</v>
      </c>
      <c r="H108" s="6" t="s">
        <v>3252</v>
      </c>
      <c r="I108" s="37">
        <v>0.138</v>
      </c>
      <c r="J108" s="35">
        <v>2024.0</v>
      </c>
    </row>
    <row r="109" ht="15.75" customHeight="1">
      <c r="A109" s="32" t="str">
        <f t="array" ref="A109">XLOOKUP(B109, city_to_region!$B$5:$B$96, city_to_region!$A$5:$A$96)</f>
        <v>Акмолинская</v>
      </c>
      <c r="B109" s="21" t="s">
        <v>3253</v>
      </c>
      <c r="C109" s="32" t="s">
        <v>3254</v>
      </c>
      <c r="D109" s="6" t="s">
        <v>3255</v>
      </c>
      <c r="E109" s="33">
        <v>45610.0</v>
      </c>
      <c r="F109" s="33">
        <v>45616.0</v>
      </c>
      <c r="G109" s="6" t="s">
        <v>3256</v>
      </c>
      <c r="H109" s="6" t="s">
        <v>3257</v>
      </c>
      <c r="I109" s="37">
        <v>0.172</v>
      </c>
      <c r="J109" s="35">
        <v>2024.0</v>
      </c>
    </row>
    <row r="110" ht="15.75" customHeight="1">
      <c r="A110" s="32" t="str">
        <f t="array" ref="A110">XLOOKUP(B110, city_to_region!$B$5:$B$96, city_to_region!$A$5:$A$96)</f>
        <v>Акмолинская</v>
      </c>
      <c r="B110" s="21" t="s">
        <v>3253</v>
      </c>
      <c r="C110" s="32" t="s">
        <v>3254</v>
      </c>
      <c r="D110" s="6" t="s">
        <v>3258</v>
      </c>
      <c r="E110" s="33">
        <v>45644.0</v>
      </c>
      <c r="F110" s="33">
        <v>45650.0</v>
      </c>
      <c r="G110" s="6" t="s">
        <v>3259</v>
      </c>
      <c r="H110" s="6" t="s">
        <v>3260</v>
      </c>
      <c r="I110" s="37">
        <v>0.229</v>
      </c>
      <c r="J110" s="35">
        <v>2024.0</v>
      </c>
    </row>
    <row r="111" ht="17.25" customHeight="1">
      <c r="A111" s="32" t="str">
        <f t="array" ref="A111">XLOOKUP(B111, city_to_region!$B$5:$B$96, city_to_region!$A$5:$A$96)</f>
        <v>Область Улытау</v>
      </c>
      <c r="B111" s="32" t="s">
        <v>2795</v>
      </c>
      <c r="C111" s="32" t="s">
        <v>3261</v>
      </c>
      <c r="D111" s="6" t="s">
        <v>3262</v>
      </c>
      <c r="E111" s="33">
        <v>45294.0</v>
      </c>
      <c r="F111" s="33">
        <v>45294.0</v>
      </c>
      <c r="G111" s="6" t="s">
        <v>3263</v>
      </c>
      <c r="H111" s="6" t="s">
        <v>3264</v>
      </c>
      <c r="I111" s="34">
        <v>2.72</v>
      </c>
      <c r="J111" s="35">
        <v>2024.0</v>
      </c>
    </row>
    <row r="112" ht="15.75" customHeight="1">
      <c r="A112" s="32" t="str">
        <f t="array" ref="A112">XLOOKUP(B112, city_to_region!$B$5:$B$96, city_to_region!$A$5:$A$96)</f>
        <v>Область Улытау</v>
      </c>
      <c r="B112" s="32" t="s">
        <v>2795</v>
      </c>
      <c r="C112" s="32" t="s">
        <v>3261</v>
      </c>
      <c r="D112" s="6" t="s">
        <v>3265</v>
      </c>
      <c r="E112" s="33">
        <v>45294.0</v>
      </c>
      <c r="F112" s="33">
        <v>45295.0</v>
      </c>
      <c r="G112" s="6" t="s">
        <v>3266</v>
      </c>
      <c r="H112" s="6" t="s">
        <v>3267</v>
      </c>
      <c r="I112" s="37">
        <v>3.204</v>
      </c>
      <c r="J112" s="35">
        <v>2024.0</v>
      </c>
    </row>
    <row r="113" ht="15.75" customHeight="1">
      <c r="A113" s="32" t="str">
        <f t="array" ref="A113">XLOOKUP(B113, city_to_region!$B$5:$B$96, city_to_region!$A$5:$A$96)</f>
        <v>Область Улытау</v>
      </c>
      <c r="B113" s="32" t="s">
        <v>2795</v>
      </c>
      <c r="C113" s="32" t="s">
        <v>3261</v>
      </c>
      <c r="D113" s="6" t="s">
        <v>3268</v>
      </c>
      <c r="E113" s="33">
        <v>45294.0</v>
      </c>
      <c r="F113" s="33">
        <v>45295.0</v>
      </c>
      <c r="G113" s="6" t="s">
        <v>3269</v>
      </c>
      <c r="H113" s="6" t="s">
        <v>3270</v>
      </c>
      <c r="I113" s="37">
        <v>0.349</v>
      </c>
      <c r="J113" s="35">
        <v>2024.0</v>
      </c>
    </row>
    <row r="114" ht="15.75" customHeight="1">
      <c r="A114" s="32" t="str">
        <f t="array" ref="A114">XLOOKUP(B114, city_to_region!$B$5:$B$96, city_to_region!$A$5:$A$96)</f>
        <v>Область Улытау</v>
      </c>
      <c r="B114" s="32" t="s">
        <v>2795</v>
      </c>
      <c r="C114" s="32" t="s">
        <v>3261</v>
      </c>
      <c r="D114" s="6" t="s">
        <v>3271</v>
      </c>
      <c r="E114" s="33">
        <v>45294.0</v>
      </c>
      <c r="F114" s="33">
        <v>45299.0</v>
      </c>
      <c r="G114" s="6" t="s">
        <v>3272</v>
      </c>
      <c r="H114" s="6" t="s">
        <v>3273</v>
      </c>
      <c r="I114" s="36">
        <v>11.2</v>
      </c>
      <c r="J114" s="35">
        <v>2024.0</v>
      </c>
    </row>
    <row r="115" ht="15.75" customHeight="1">
      <c r="A115" s="32" t="str">
        <f t="array" ref="A115">XLOOKUP(B115, city_to_region!$B$5:$B$96, city_to_region!$A$5:$A$96)</f>
        <v>Область Улытау</v>
      </c>
      <c r="B115" s="32" t="s">
        <v>2795</v>
      </c>
      <c r="C115" s="32" t="s">
        <v>3261</v>
      </c>
      <c r="D115" s="6" t="s">
        <v>3274</v>
      </c>
      <c r="E115" s="33">
        <v>45329.0</v>
      </c>
      <c r="F115" s="33">
        <v>45329.0</v>
      </c>
      <c r="G115" s="6" t="s">
        <v>3275</v>
      </c>
      <c r="H115" s="6" t="s">
        <v>3276</v>
      </c>
      <c r="I115" s="34">
        <v>2.61</v>
      </c>
      <c r="J115" s="35">
        <v>2024.0</v>
      </c>
    </row>
    <row r="116" ht="15.75" customHeight="1">
      <c r="A116" s="32" t="str">
        <f t="array" ref="A116">XLOOKUP(B116, city_to_region!$B$5:$B$96, city_to_region!$A$5:$A$96)</f>
        <v>Область Улытау</v>
      </c>
      <c r="B116" s="32" t="s">
        <v>2795</v>
      </c>
      <c r="C116" s="32" t="s">
        <v>3261</v>
      </c>
      <c r="D116" s="6" t="s">
        <v>3277</v>
      </c>
      <c r="E116" s="33">
        <v>45329.0</v>
      </c>
      <c r="F116" s="33">
        <v>45330.0</v>
      </c>
      <c r="G116" s="6" t="s">
        <v>3278</v>
      </c>
      <c r="H116" s="6" t="s">
        <v>3279</v>
      </c>
      <c r="I116" s="37">
        <v>3.252</v>
      </c>
      <c r="J116" s="35">
        <v>2024.0</v>
      </c>
    </row>
    <row r="117" ht="15.75" customHeight="1">
      <c r="A117" s="32" t="str">
        <f t="array" ref="A117">XLOOKUP(B117, city_to_region!$B$5:$B$96, city_to_region!$A$5:$A$96)</f>
        <v>Область Улытау</v>
      </c>
      <c r="B117" s="32" t="s">
        <v>2795</v>
      </c>
      <c r="C117" s="32" t="s">
        <v>3261</v>
      </c>
      <c r="D117" s="6" t="s">
        <v>3280</v>
      </c>
      <c r="E117" s="33">
        <v>45329.0</v>
      </c>
      <c r="F117" s="33">
        <v>45330.0</v>
      </c>
      <c r="G117" s="6" t="s">
        <v>3281</v>
      </c>
      <c r="H117" s="6" t="s">
        <v>3282</v>
      </c>
      <c r="I117" s="37">
        <v>0.359</v>
      </c>
      <c r="J117" s="35">
        <v>2024.0</v>
      </c>
    </row>
    <row r="118" ht="15.75" customHeight="1">
      <c r="A118" s="32" t="str">
        <f t="array" ref="A118">XLOOKUP(B118, city_to_region!$B$5:$B$96, city_to_region!$A$5:$A$96)</f>
        <v>Область Улытау</v>
      </c>
      <c r="B118" s="32" t="s">
        <v>2795</v>
      </c>
      <c r="C118" s="32" t="s">
        <v>3261</v>
      </c>
      <c r="D118" s="6" t="s">
        <v>3283</v>
      </c>
      <c r="E118" s="33">
        <v>45329.0</v>
      </c>
      <c r="F118" s="33">
        <v>45334.0</v>
      </c>
      <c r="G118" s="6" t="s">
        <v>3284</v>
      </c>
      <c r="H118" s="6" t="s">
        <v>3285</v>
      </c>
      <c r="I118" s="36">
        <v>12.4</v>
      </c>
      <c r="J118" s="35">
        <v>2024.0</v>
      </c>
    </row>
    <row r="119" ht="15.75" customHeight="1">
      <c r="A119" s="32" t="str">
        <f t="array" ref="A119">XLOOKUP(B119, city_to_region!$B$5:$B$96, city_to_region!$A$5:$A$96)</f>
        <v>Область Улытау</v>
      </c>
      <c r="B119" s="32" t="s">
        <v>2795</v>
      </c>
      <c r="C119" s="32" t="s">
        <v>3261</v>
      </c>
      <c r="D119" s="6" t="s">
        <v>3286</v>
      </c>
      <c r="E119" s="33">
        <v>45366.0</v>
      </c>
      <c r="F119" s="33">
        <v>45369.0</v>
      </c>
      <c r="G119" s="6" t="s">
        <v>3287</v>
      </c>
      <c r="H119" s="6" t="s">
        <v>3288</v>
      </c>
      <c r="I119" s="37">
        <v>3.242</v>
      </c>
      <c r="J119" s="35">
        <v>2024.0</v>
      </c>
    </row>
    <row r="120" ht="15.75" customHeight="1">
      <c r="A120" s="32" t="str">
        <f t="array" ref="A120">XLOOKUP(B120, city_to_region!$B$5:$B$96, city_to_region!$A$5:$A$96)</f>
        <v>Область Улытау</v>
      </c>
      <c r="B120" s="32" t="s">
        <v>2795</v>
      </c>
      <c r="C120" s="32" t="s">
        <v>3261</v>
      </c>
      <c r="D120" s="6" t="s">
        <v>3289</v>
      </c>
      <c r="E120" s="33">
        <v>45366.0</v>
      </c>
      <c r="F120" s="33">
        <v>45369.0</v>
      </c>
      <c r="G120" s="6" t="s">
        <v>3290</v>
      </c>
      <c r="H120" s="6" t="s">
        <v>3291</v>
      </c>
      <c r="I120" s="37">
        <v>0.354</v>
      </c>
      <c r="J120" s="35">
        <v>2024.0</v>
      </c>
    </row>
    <row r="121" ht="15.75" customHeight="1">
      <c r="A121" s="32" t="str">
        <f t="array" ref="A121">XLOOKUP(B121, city_to_region!$B$5:$B$96, city_to_region!$A$5:$A$96)</f>
        <v>Область Улытау</v>
      </c>
      <c r="B121" s="32" t="s">
        <v>2795</v>
      </c>
      <c r="C121" s="32" t="s">
        <v>3261</v>
      </c>
      <c r="D121" s="6" t="s">
        <v>3292</v>
      </c>
      <c r="E121" s="33">
        <v>45366.0</v>
      </c>
      <c r="F121" s="33">
        <v>45371.0</v>
      </c>
      <c r="G121" s="6" t="s">
        <v>3293</v>
      </c>
      <c r="H121" s="6" t="s">
        <v>3294</v>
      </c>
      <c r="I121" s="36">
        <v>17.6</v>
      </c>
      <c r="J121" s="35">
        <v>2024.0</v>
      </c>
    </row>
    <row r="122" ht="15.75" customHeight="1">
      <c r="A122" s="32" t="str">
        <f t="array" ref="A122">XLOOKUP(B122, city_to_region!$B$5:$B$96, city_to_region!$A$5:$A$96)</f>
        <v>Область Улытау</v>
      </c>
      <c r="B122" s="32" t="s">
        <v>2795</v>
      </c>
      <c r="C122" s="32" t="s">
        <v>3261</v>
      </c>
      <c r="D122" s="6" t="s">
        <v>3295</v>
      </c>
      <c r="E122" s="33">
        <v>45385.0</v>
      </c>
      <c r="F122" s="33">
        <v>45386.0</v>
      </c>
      <c r="G122" s="6" t="s">
        <v>3296</v>
      </c>
      <c r="H122" s="6" t="s">
        <v>3297</v>
      </c>
      <c r="I122" s="37">
        <v>0.518</v>
      </c>
      <c r="J122" s="35">
        <v>2024.0</v>
      </c>
    </row>
    <row r="123" ht="15.75" customHeight="1">
      <c r="A123" s="32" t="str">
        <f t="array" ref="A123">XLOOKUP(B123, city_to_region!$B$5:$B$96, city_to_region!$A$5:$A$96)</f>
        <v>Область Улытау</v>
      </c>
      <c r="B123" s="32" t="s">
        <v>2795</v>
      </c>
      <c r="C123" s="32" t="s">
        <v>3261</v>
      </c>
      <c r="D123" s="6" t="s">
        <v>3298</v>
      </c>
      <c r="E123" s="33">
        <v>45546.0</v>
      </c>
      <c r="F123" s="33">
        <v>45546.0</v>
      </c>
      <c r="G123" s="6" t="s">
        <v>3299</v>
      </c>
      <c r="H123" s="6" t="s">
        <v>3300</v>
      </c>
      <c r="I123" s="34">
        <v>2.95</v>
      </c>
      <c r="J123" s="35">
        <v>2024.0</v>
      </c>
    </row>
    <row r="124" ht="15.75" customHeight="1">
      <c r="A124" s="32" t="str">
        <f t="array" ref="A124">XLOOKUP(B124, city_to_region!$B$5:$B$96, city_to_region!$A$5:$A$96)</f>
        <v>Область Улытау</v>
      </c>
      <c r="B124" s="32" t="s">
        <v>2795</v>
      </c>
      <c r="C124" s="32" t="s">
        <v>3261</v>
      </c>
      <c r="D124" s="6" t="s">
        <v>3301</v>
      </c>
      <c r="E124" s="33">
        <v>45546.0</v>
      </c>
      <c r="F124" s="33">
        <v>45551.0</v>
      </c>
      <c r="G124" s="6" t="s">
        <v>3302</v>
      </c>
      <c r="H124" s="6" t="s">
        <v>3303</v>
      </c>
      <c r="I124" s="36">
        <v>13.0</v>
      </c>
      <c r="J124" s="35">
        <v>2024.0</v>
      </c>
    </row>
    <row r="125" ht="15.75" customHeight="1">
      <c r="A125" s="32" t="str">
        <f t="array" ref="A125">XLOOKUP(B125, city_to_region!$B$5:$B$96, city_to_region!$A$5:$A$96)</f>
        <v>Область Улытау</v>
      </c>
      <c r="B125" s="32" t="s">
        <v>2795</v>
      </c>
      <c r="C125" s="32" t="s">
        <v>3261</v>
      </c>
      <c r="D125" s="6" t="s">
        <v>3304</v>
      </c>
      <c r="E125" s="33">
        <v>45574.0</v>
      </c>
      <c r="F125" s="33">
        <v>45574.0</v>
      </c>
      <c r="G125" s="6" t="s">
        <v>3305</v>
      </c>
      <c r="H125" s="6" t="s">
        <v>3306</v>
      </c>
      <c r="I125" s="34">
        <v>2.63</v>
      </c>
      <c r="J125" s="35">
        <v>2024.0</v>
      </c>
    </row>
    <row r="126" ht="15.75" customHeight="1">
      <c r="A126" s="32" t="str">
        <f t="array" ref="A126">XLOOKUP(B126, city_to_region!$B$5:$B$96, city_to_region!$A$5:$A$96)</f>
        <v>Область Улытау</v>
      </c>
      <c r="B126" s="32" t="s">
        <v>2795</v>
      </c>
      <c r="C126" s="32" t="s">
        <v>3261</v>
      </c>
      <c r="D126" s="6" t="s">
        <v>3307</v>
      </c>
      <c r="E126" s="33">
        <v>45574.0</v>
      </c>
      <c r="F126" s="33">
        <v>45574.0</v>
      </c>
      <c r="G126" s="6" t="s">
        <v>3308</v>
      </c>
      <c r="H126" s="6" t="s">
        <v>3309</v>
      </c>
      <c r="I126" s="37">
        <v>1.204</v>
      </c>
      <c r="J126" s="35">
        <v>2024.0</v>
      </c>
    </row>
    <row r="127" ht="15.75" customHeight="1">
      <c r="A127" s="32" t="str">
        <f t="array" ref="A127">XLOOKUP(B127, city_to_region!$B$5:$B$96, city_to_region!$A$5:$A$96)</f>
        <v>Область Улытау</v>
      </c>
      <c r="B127" s="32" t="s">
        <v>2795</v>
      </c>
      <c r="C127" s="32" t="s">
        <v>3261</v>
      </c>
      <c r="D127" s="6" t="s">
        <v>3310</v>
      </c>
      <c r="E127" s="33">
        <v>45574.0</v>
      </c>
      <c r="F127" s="33">
        <v>45579.0</v>
      </c>
      <c r="G127" s="6" t="s">
        <v>3311</v>
      </c>
      <c r="H127" s="6" t="s">
        <v>3312</v>
      </c>
      <c r="I127" s="36">
        <v>11.2</v>
      </c>
      <c r="J127" s="35">
        <v>2024.0</v>
      </c>
    </row>
    <row r="128" ht="15.75" customHeight="1">
      <c r="A128" s="32" t="str">
        <f t="array" ref="A128">XLOOKUP(B128, city_to_region!$B$5:$B$96, city_to_region!$A$5:$A$96)</f>
        <v>Область Улытау</v>
      </c>
      <c r="B128" s="32" t="s">
        <v>2795</v>
      </c>
      <c r="C128" s="32" t="s">
        <v>3261</v>
      </c>
      <c r="D128" s="6" t="s">
        <v>3313</v>
      </c>
      <c r="E128" s="33">
        <v>45602.0</v>
      </c>
      <c r="F128" s="33">
        <v>45602.0</v>
      </c>
      <c r="G128" s="6" t="s">
        <v>3314</v>
      </c>
      <c r="H128" s="6" t="s">
        <v>3315</v>
      </c>
      <c r="I128" s="34">
        <v>2.88</v>
      </c>
      <c r="J128" s="35">
        <v>2024.0</v>
      </c>
    </row>
    <row r="129" ht="15.75" customHeight="1">
      <c r="A129" s="32" t="str">
        <f t="array" ref="A129">XLOOKUP(B129, city_to_region!$B$5:$B$96, city_to_region!$A$5:$A$96)</f>
        <v>Область Улытау</v>
      </c>
      <c r="B129" s="32" t="s">
        <v>2795</v>
      </c>
      <c r="C129" s="32" t="s">
        <v>3261</v>
      </c>
      <c r="D129" s="6" t="s">
        <v>3316</v>
      </c>
      <c r="E129" s="33">
        <v>45602.0</v>
      </c>
      <c r="F129" s="33">
        <v>45607.0</v>
      </c>
      <c r="G129" s="6" t="s">
        <v>3317</v>
      </c>
      <c r="H129" s="6" t="s">
        <v>3318</v>
      </c>
      <c r="I129" s="36">
        <v>12.6</v>
      </c>
      <c r="J129" s="35">
        <v>2024.0</v>
      </c>
    </row>
    <row r="130" ht="15.75" customHeight="1">
      <c r="A130" s="32" t="str">
        <f t="array" ref="A130">XLOOKUP(B130, city_to_region!$B$5:$B$96, city_to_region!$A$5:$A$96)</f>
        <v>Карагандинская</v>
      </c>
      <c r="B130" s="32" t="s">
        <v>3319</v>
      </c>
      <c r="C130" s="32" t="s">
        <v>3320</v>
      </c>
      <c r="D130" s="6" t="s">
        <v>3321</v>
      </c>
      <c r="E130" s="33">
        <v>45306.0</v>
      </c>
      <c r="F130" s="33">
        <v>45307.0</v>
      </c>
      <c r="G130" s="6" t="s">
        <v>3322</v>
      </c>
      <c r="H130" s="6" t="s">
        <v>3323</v>
      </c>
      <c r="I130" s="34">
        <v>8.74</v>
      </c>
      <c r="J130" s="35">
        <v>2024.0</v>
      </c>
    </row>
    <row r="131" ht="15.75" customHeight="1">
      <c r="A131" s="32" t="str">
        <f t="array" ref="A131">XLOOKUP(B131, city_to_region!$B$5:$B$96, city_to_region!$A$5:$A$96)</f>
        <v>Карагандинская</v>
      </c>
      <c r="B131" s="32" t="s">
        <v>3319</v>
      </c>
      <c r="C131" s="32" t="s">
        <v>3320</v>
      </c>
      <c r="D131" s="6" t="s">
        <v>3324</v>
      </c>
      <c r="E131" s="33">
        <v>45306.0</v>
      </c>
      <c r="F131" s="33">
        <v>45307.0</v>
      </c>
      <c r="G131" s="6" t="s">
        <v>3325</v>
      </c>
      <c r="H131" s="6" t="s">
        <v>3326</v>
      </c>
      <c r="I131" s="36">
        <v>48.3</v>
      </c>
      <c r="J131" s="35">
        <v>2024.0</v>
      </c>
    </row>
    <row r="132" ht="15.75" customHeight="1">
      <c r="A132" s="32" t="str">
        <f t="array" ref="A132">XLOOKUP(B132, city_to_region!$B$5:$B$96, city_to_region!$A$5:$A$96)</f>
        <v>Карагандинская</v>
      </c>
      <c r="B132" s="32" t="s">
        <v>3319</v>
      </c>
      <c r="C132" s="32" t="s">
        <v>3320</v>
      </c>
      <c r="D132" s="6" t="s">
        <v>3327</v>
      </c>
      <c r="E132" s="33">
        <v>45327.0</v>
      </c>
      <c r="F132" s="33">
        <v>45328.0</v>
      </c>
      <c r="G132" s="6" t="s">
        <v>3328</v>
      </c>
      <c r="H132" s="6" t="s">
        <v>3329</v>
      </c>
      <c r="I132" s="36">
        <v>15.2</v>
      </c>
      <c r="J132" s="35">
        <v>2024.0</v>
      </c>
    </row>
    <row r="133" ht="15.75" customHeight="1">
      <c r="A133" s="32" t="str">
        <f t="array" ref="A133">XLOOKUP(B133, city_to_region!$B$5:$B$96, city_to_region!$A$5:$A$96)</f>
        <v>Карагандинская</v>
      </c>
      <c r="B133" s="32" t="s">
        <v>3319</v>
      </c>
      <c r="C133" s="32" t="s">
        <v>3320</v>
      </c>
      <c r="D133" s="6" t="s">
        <v>3330</v>
      </c>
      <c r="E133" s="33">
        <v>45327.0</v>
      </c>
      <c r="F133" s="33">
        <v>45328.0</v>
      </c>
      <c r="G133" s="6" t="s">
        <v>3331</v>
      </c>
      <c r="H133" s="6" t="s">
        <v>3332</v>
      </c>
      <c r="I133" s="34">
        <v>8.22</v>
      </c>
      <c r="J133" s="35">
        <v>2024.0</v>
      </c>
    </row>
    <row r="134" ht="15.75" customHeight="1">
      <c r="A134" s="32" t="str">
        <f t="array" ref="A134">XLOOKUP(B134, city_to_region!$B$5:$B$96, city_to_region!$A$5:$A$96)</f>
        <v>Карагандинская</v>
      </c>
      <c r="B134" s="32" t="s">
        <v>3319</v>
      </c>
      <c r="C134" s="32" t="s">
        <v>3320</v>
      </c>
      <c r="D134" s="6" t="s">
        <v>3333</v>
      </c>
      <c r="E134" s="33">
        <v>45327.0</v>
      </c>
      <c r="F134" s="33">
        <v>45328.0</v>
      </c>
      <c r="G134" s="6" t="s">
        <v>3334</v>
      </c>
      <c r="H134" s="6" t="s">
        <v>3335</v>
      </c>
      <c r="I134" s="36">
        <v>39.4</v>
      </c>
      <c r="J134" s="35">
        <v>2024.0</v>
      </c>
    </row>
    <row r="135" ht="15.75" customHeight="1">
      <c r="A135" s="32" t="str">
        <f t="array" ref="A135">XLOOKUP(B135, city_to_region!$B$5:$B$96, city_to_region!$A$5:$A$96)</f>
        <v>Карагандинская</v>
      </c>
      <c r="B135" s="32" t="s">
        <v>3319</v>
      </c>
      <c r="C135" s="32" t="s">
        <v>3320</v>
      </c>
      <c r="D135" s="6" t="s">
        <v>3336</v>
      </c>
      <c r="E135" s="33">
        <v>45427.0</v>
      </c>
      <c r="F135" s="33">
        <v>45428.0</v>
      </c>
      <c r="G135" s="6" t="s">
        <v>3337</v>
      </c>
      <c r="H135" s="6" t="s">
        <v>3338</v>
      </c>
      <c r="I135" s="38">
        <v>406.0</v>
      </c>
      <c r="J135" s="35">
        <v>2024.0</v>
      </c>
    </row>
    <row r="136" ht="15.75" customHeight="1">
      <c r="A136" s="32" t="str">
        <f t="array" ref="A136">XLOOKUP(B136, city_to_region!$B$5:$B$96, city_to_region!$A$5:$A$96)</f>
        <v>Карагандинская</v>
      </c>
      <c r="B136" s="32" t="s">
        <v>3319</v>
      </c>
      <c r="C136" s="32" t="s">
        <v>3320</v>
      </c>
      <c r="D136" s="6" t="s">
        <v>3339</v>
      </c>
      <c r="E136" s="33">
        <v>45448.0</v>
      </c>
      <c r="F136" s="33">
        <v>45449.0</v>
      </c>
      <c r="G136" s="6" t="s">
        <v>3340</v>
      </c>
      <c r="H136" s="6" t="s">
        <v>3341</v>
      </c>
      <c r="I136" s="38">
        <v>389.0</v>
      </c>
      <c r="J136" s="35">
        <v>2024.0</v>
      </c>
    </row>
    <row r="137" ht="15.75" customHeight="1">
      <c r="A137" s="32" t="str">
        <f t="array" ref="A137">XLOOKUP(B137, city_to_region!$B$5:$B$96, city_to_region!$A$5:$A$96)</f>
        <v>Карагандинская</v>
      </c>
      <c r="B137" s="32" t="s">
        <v>3319</v>
      </c>
      <c r="C137" s="32" t="s">
        <v>3320</v>
      </c>
      <c r="D137" s="6" t="s">
        <v>3342</v>
      </c>
      <c r="E137" s="33">
        <v>45483.0</v>
      </c>
      <c r="F137" s="33">
        <v>45485.0</v>
      </c>
      <c r="G137" s="6" t="s">
        <v>3343</v>
      </c>
      <c r="H137" s="6" t="s">
        <v>3344</v>
      </c>
      <c r="I137" s="37">
        <v>0.195</v>
      </c>
      <c r="J137" s="35">
        <v>2024.0</v>
      </c>
    </row>
    <row r="138" ht="15.75" customHeight="1">
      <c r="A138" s="32" t="str">
        <f t="array" ref="A138">XLOOKUP(B138, city_to_region!$B$5:$B$96, city_to_region!$A$5:$A$96)</f>
        <v>Карагандинская</v>
      </c>
      <c r="B138" s="32" t="s">
        <v>3319</v>
      </c>
      <c r="C138" s="32" t="s">
        <v>3320</v>
      </c>
      <c r="D138" s="6" t="s">
        <v>3345</v>
      </c>
      <c r="E138" s="33">
        <v>45511.0</v>
      </c>
      <c r="F138" s="33">
        <v>45513.0</v>
      </c>
      <c r="G138" s="6" t="s">
        <v>3346</v>
      </c>
      <c r="H138" s="6" t="s">
        <v>3347</v>
      </c>
      <c r="I138" s="37">
        <v>0.212</v>
      </c>
      <c r="J138" s="35">
        <v>2024.0</v>
      </c>
    </row>
    <row r="139" ht="15.75" customHeight="1">
      <c r="A139" s="32" t="str">
        <f t="array" ref="A139">XLOOKUP(B139, city_to_region!$B$5:$B$96, city_to_region!$A$5:$A$96)</f>
        <v>Карагандинская</v>
      </c>
      <c r="B139" s="32" t="s">
        <v>3319</v>
      </c>
      <c r="C139" s="32" t="s">
        <v>3320</v>
      </c>
      <c r="D139" s="6" t="s">
        <v>3348</v>
      </c>
      <c r="E139" s="33">
        <v>45539.0</v>
      </c>
      <c r="F139" s="33">
        <v>45540.0</v>
      </c>
      <c r="G139" s="6" t="s">
        <v>3349</v>
      </c>
      <c r="H139" s="6" t="s">
        <v>3350</v>
      </c>
      <c r="I139" s="38">
        <v>379.0</v>
      </c>
      <c r="J139" s="35">
        <v>2024.0</v>
      </c>
    </row>
    <row r="140" ht="15.75" customHeight="1">
      <c r="A140" s="32" t="str">
        <f t="array" ref="A140">XLOOKUP(B140, city_to_region!$B$5:$B$96, city_to_region!$A$5:$A$96)</f>
        <v>Карагандинская</v>
      </c>
      <c r="B140" s="32" t="s">
        <v>3319</v>
      </c>
      <c r="C140" s="32" t="s">
        <v>3320</v>
      </c>
      <c r="D140" s="6" t="s">
        <v>3351</v>
      </c>
      <c r="E140" s="33">
        <v>45568.0</v>
      </c>
      <c r="F140" s="33">
        <v>45569.0</v>
      </c>
      <c r="G140" s="6" t="s">
        <v>3352</v>
      </c>
      <c r="H140" s="6" t="s">
        <v>3353</v>
      </c>
      <c r="I140" s="37">
        <v>0.205</v>
      </c>
      <c r="J140" s="35">
        <v>2024.0</v>
      </c>
    </row>
    <row r="141" ht="15.75" customHeight="1">
      <c r="A141" s="32" t="str">
        <f t="array" ref="A141">XLOOKUP(B141, city_to_region!$B$5:$B$96, city_to_region!$A$5:$A$96)</f>
        <v>Карагандинская</v>
      </c>
      <c r="B141" s="32" t="s">
        <v>3319</v>
      </c>
      <c r="C141" s="32" t="s">
        <v>3320</v>
      </c>
      <c r="D141" s="6" t="s">
        <v>3354</v>
      </c>
      <c r="E141" s="33">
        <v>45607.0</v>
      </c>
      <c r="F141" s="33">
        <v>45608.0</v>
      </c>
      <c r="G141" s="6" t="s">
        <v>3355</v>
      </c>
      <c r="H141" s="6" t="s">
        <v>3356</v>
      </c>
      <c r="I141" s="36">
        <v>10.2</v>
      </c>
      <c r="J141" s="35">
        <v>2024.0</v>
      </c>
    </row>
    <row r="142" ht="15.75" customHeight="1">
      <c r="A142" s="32" t="str">
        <f t="array" ref="A142">XLOOKUP(B142, city_to_region!$B$5:$B$96, city_to_region!$A$5:$A$96)</f>
        <v>Карагандинская</v>
      </c>
      <c r="B142" s="32" t="s">
        <v>3319</v>
      </c>
      <c r="C142" s="32" t="s">
        <v>3320</v>
      </c>
      <c r="D142" s="6" t="s">
        <v>3357</v>
      </c>
      <c r="E142" s="33">
        <v>45607.0</v>
      </c>
      <c r="F142" s="33">
        <v>45608.0</v>
      </c>
      <c r="G142" s="6" t="s">
        <v>3358</v>
      </c>
      <c r="H142" s="6" t="s">
        <v>3359</v>
      </c>
      <c r="I142" s="36">
        <v>46.5</v>
      </c>
      <c r="J142" s="35">
        <v>2024.0</v>
      </c>
    </row>
    <row r="143" ht="15.75" customHeight="1">
      <c r="A143" s="32" t="str">
        <f t="array" ref="A143">XLOOKUP(B143, city_to_region!$B$5:$B$96, city_to_region!$A$5:$A$96)</f>
        <v>Карагандинская</v>
      </c>
      <c r="B143" s="32" t="s">
        <v>3319</v>
      </c>
      <c r="C143" s="32" t="s">
        <v>3320</v>
      </c>
      <c r="D143" s="6" t="s">
        <v>3360</v>
      </c>
      <c r="E143" s="33">
        <v>45607.0</v>
      </c>
      <c r="F143" s="33">
        <v>45609.0</v>
      </c>
      <c r="G143" s="6" t="s">
        <v>3361</v>
      </c>
      <c r="H143" s="6" t="s">
        <v>3362</v>
      </c>
      <c r="I143" s="37">
        <v>0.231</v>
      </c>
      <c r="J143" s="35">
        <v>2024.0</v>
      </c>
    </row>
    <row r="144" ht="15.75" customHeight="1">
      <c r="A144" s="32" t="str">
        <f t="array" ref="A144">XLOOKUP(B144, city_to_region!$B$5:$B$96, city_to_region!$A$5:$A$96)</f>
        <v>Карагандинская</v>
      </c>
      <c r="B144" s="32" t="s">
        <v>3363</v>
      </c>
      <c r="C144" s="32" t="s">
        <v>3364</v>
      </c>
      <c r="D144" s="6" t="s">
        <v>3365</v>
      </c>
      <c r="E144" s="33">
        <v>45306.0</v>
      </c>
      <c r="F144" s="33">
        <v>45307.0</v>
      </c>
      <c r="G144" s="6" t="s">
        <v>3366</v>
      </c>
      <c r="H144" s="6" t="s">
        <v>3367</v>
      </c>
      <c r="I144" s="36">
        <v>10.8</v>
      </c>
      <c r="J144" s="35">
        <v>2024.0</v>
      </c>
    </row>
    <row r="145" ht="15.75" customHeight="1">
      <c r="A145" s="32" t="str">
        <f t="array" ref="A145">XLOOKUP(B145, city_to_region!$B$5:$B$96, city_to_region!$A$5:$A$96)</f>
        <v>Карагандинская</v>
      </c>
      <c r="B145" s="32" t="s">
        <v>3363</v>
      </c>
      <c r="C145" s="32" t="s">
        <v>3364</v>
      </c>
      <c r="D145" s="6" t="s">
        <v>3368</v>
      </c>
      <c r="E145" s="33">
        <v>45306.0</v>
      </c>
      <c r="F145" s="33">
        <v>45307.0</v>
      </c>
      <c r="G145" s="6" t="s">
        <v>3369</v>
      </c>
      <c r="H145" s="6" t="s">
        <v>3370</v>
      </c>
      <c r="I145" s="36">
        <v>54.2</v>
      </c>
      <c r="J145" s="35">
        <v>2024.0</v>
      </c>
    </row>
    <row r="146" ht="15.75" customHeight="1">
      <c r="A146" s="32" t="str">
        <f t="array" ref="A146">XLOOKUP(B146, city_to_region!$B$5:$B$96, city_to_region!$A$5:$A$96)</f>
        <v>Карагандинская</v>
      </c>
      <c r="B146" s="32" t="s">
        <v>3363</v>
      </c>
      <c r="C146" s="32" t="s">
        <v>3364</v>
      </c>
      <c r="D146" s="6" t="s">
        <v>3371</v>
      </c>
      <c r="E146" s="33">
        <v>45327.0</v>
      </c>
      <c r="F146" s="33">
        <v>45328.0</v>
      </c>
      <c r="G146" s="6" t="s">
        <v>3372</v>
      </c>
      <c r="H146" s="6" t="s">
        <v>3373</v>
      </c>
      <c r="I146" s="36">
        <v>15.1</v>
      </c>
      <c r="J146" s="35">
        <v>2024.0</v>
      </c>
    </row>
    <row r="147" ht="15.75" customHeight="1">
      <c r="A147" s="32" t="str">
        <f t="array" ref="A147">XLOOKUP(B147, city_to_region!$B$5:$B$96, city_to_region!$A$5:$A$96)</f>
        <v>Карагандинская</v>
      </c>
      <c r="B147" s="32" t="s">
        <v>3363</v>
      </c>
      <c r="C147" s="32" t="s">
        <v>3364</v>
      </c>
      <c r="D147" s="6" t="s">
        <v>3374</v>
      </c>
      <c r="E147" s="33">
        <v>45327.0</v>
      </c>
      <c r="F147" s="33">
        <v>45328.0</v>
      </c>
      <c r="G147" s="6" t="s">
        <v>3375</v>
      </c>
      <c r="H147" s="6" t="s">
        <v>3376</v>
      </c>
      <c r="I147" s="34">
        <v>7.57</v>
      </c>
      <c r="J147" s="35">
        <v>2024.0</v>
      </c>
    </row>
    <row r="148" ht="15.75" customHeight="1">
      <c r="A148" s="32" t="str">
        <f t="array" ref="A148">XLOOKUP(B148, city_to_region!$B$5:$B$96, city_to_region!$A$5:$A$96)</f>
        <v>Карагандинская</v>
      </c>
      <c r="B148" s="32" t="s">
        <v>3363</v>
      </c>
      <c r="C148" s="32" t="s">
        <v>3364</v>
      </c>
      <c r="D148" s="6" t="s">
        <v>3377</v>
      </c>
      <c r="E148" s="33">
        <v>45399.0</v>
      </c>
      <c r="F148" s="33">
        <v>45404.0</v>
      </c>
      <c r="G148" s="6" t="s">
        <v>3378</v>
      </c>
      <c r="H148" s="6" t="s">
        <v>3379</v>
      </c>
      <c r="I148" s="34">
        <v>0.57</v>
      </c>
      <c r="J148" s="35">
        <v>2024.0</v>
      </c>
    </row>
    <row r="149" ht="15.75" customHeight="1">
      <c r="A149" s="32" t="str">
        <f t="array" ref="A149">XLOOKUP(B149, city_to_region!$B$5:$B$96, city_to_region!$A$5:$A$96)</f>
        <v>Карагандинская</v>
      </c>
      <c r="B149" s="32" t="s">
        <v>3363</v>
      </c>
      <c r="C149" s="32" t="s">
        <v>3364</v>
      </c>
      <c r="D149" s="6" t="s">
        <v>3380</v>
      </c>
      <c r="E149" s="33">
        <v>45387.0</v>
      </c>
      <c r="F149" s="33">
        <v>45394.0</v>
      </c>
      <c r="G149" s="6" t="s">
        <v>3381</v>
      </c>
      <c r="H149" s="6" t="s">
        <v>3382</v>
      </c>
      <c r="I149" s="34">
        <v>0.68</v>
      </c>
      <c r="J149" s="35">
        <v>2024.0</v>
      </c>
    </row>
    <row r="150" ht="15.75" customHeight="1">
      <c r="A150" s="32" t="str">
        <f t="array" ref="A150">XLOOKUP(B150, city_to_region!$B$5:$B$96, city_to_region!$A$5:$A$96)</f>
        <v>Карагандинская</v>
      </c>
      <c r="B150" s="32" t="s">
        <v>3363</v>
      </c>
      <c r="C150" s="32" t="s">
        <v>3364</v>
      </c>
      <c r="D150" s="6" t="s">
        <v>3383</v>
      </c>
      <c r="E150" s="33">
        <v>45427.0</v>
      </c>
      <c r="F150" s="33">
        <v>45428.0</v>
      </c>
      <c r="G150" s="6" t="s">
        <v>3384</v>
      </c>
      <c r="H150" s="6" t="s">
        <v>3385</v>
      </c>
      <c r="I150" s="37">
        <v>1.993</v>
      </c>
      <c r="J150" s="35">
        <v>2024.0</v>
      </c>
    </row>
    <row r="151" ht="15.75" customHeight="1">
      <c r="A151" s="32" t="str">
        <f t="array" ref="A151">XLOOKUP(B151, city_to_region!$B$5:$B$96, city_to_region!$A$5:$A$96)</f>
        <v>Карагандинская</v>
      </c>
      <c r="B151" s="32" t="s">
        <v>3363</v>
      </c>
      <c r="C151" s="32" t="s">
        <v>3364</v>
      </c>
      <c r="D151" s="6" t="s">
        <v>3386</v>
      </c>
      <c r="E151" s="33">
        <v>45427.0</v>
      </c>
      <c r="F151" s="33">
        <v>45428.0</v>
      </c>
      <c r="G151" s="6" t="s">
        <v>3387</v>
      </c>
      <c r="H151" s="6" t="s">
        <v>3388</v>
      </c>
      <c r="I151" s="38">
        <v>410.0</v>
      </c>
      <c r="J151" s="35">
        <v>2024.0</v>
      </c>
    </row>
    <row r="152" ht="15.75" customHeight="1">
      <c r="A152" s="32" t="str">
        <f t="array" ref="A152">XLOOKUP(B152, city_to_region!$B$5:$B$96, city_to_region!$A$5:$A$96)</f>
        <v>Карагандинская</v>
      </c>
      <c r="B152" s="32" t="s">
        <v>3363</v>
      </c>
      <c r="C152" s="32" t="s">
        <v>3364</v>
      </c>
      <c r="D152" s="6" t="s">
        <v>3389</v>
      </c>
      <c r="E152" s="33">
        <v>45448.0</v>
      </c>
      <c r="F152" s="33">
        <v>45449.0</v>
      </c>
      <c r="G152" s="6" t="s">
        <v>3390</v>
      </c>
      <c r="H152" s="6" t="s">
        <v>3391</v>
      </c>
      <c r="I152" s="37">
        <v>2.79</v>
      </c>
      <c r="J152" s="35">
        <v>2024.0</v>
      </c>
    </row>
    <row r="153" ht="15.75" customHeight="1">
      <c r="A153" s="32" t="str">
        <f t="array" ref="A153">XLOOKUP(B153, city_to_region!$B$5:$B$96, city_to_region!$A$5:$A$96)</f>
        <v>Карагандинская</v>
      </c>
      <c r="B153" s="32" t="s">
        <v>3363</v>
      </c>
      <c r="C153" s="32" t="s">
        <v>3364</v>
      </c>
      <c r="D153" s="6" t="s">
        <v>3392</v>
      </c>
      <c r="E153" s="33">
        <v>45448.0</v>
      </c>
      <c r="F153" s="33">
        <v>45449.0</v>
      </c>
      <c r="G153" s="6" t="s">
        <v>3393</v>
      </c>
      <c r="H153" s="6" t="s">
        <v>3394</v>
      </c>
      <c r="I153" s="38">
        <v>416.0</v>
      </c>
      <c r="J153" s="35">
        <v>2024.0</v>
      </c>
    </row>
    <row r="154" ht="15.75" customHeight="1">
      <c r="A154" s="32" t="str">
        <f t="array" ref="A154">XLOOKUP(B154, city_to_region!$B$5:$B$96, city_to_region!$A$5:$A$96)</f>
        <v>Карагандинская</v>
      </c>
      <c r="B154" s="32" t="s">
        <v>3363</v>
      </c>
      <c r="C154" s="32" t="s">
        <v>3364</v>
      </c>
      <c r="D154" s="6" t="s">
        <v>3395</v>
      </c>
      <c r="E154" s="33">
        <v>45483.0</v>
      </c>
      <c r="F154" s="33">
        <v>45485.0</v>
      </c>
      <c r="G154" s="6" t="s">
        <v>3396</v>
      </c>
      <c r="H154" s="6" t="s">
        <v>3397</v>
      </c>
      <c r="I154" s="37">
        <v>0.205</v>
      </c>
      <c r="J154" s="35">
        <v>2024.0</v>
      </c>
    </row>
    <row r="155" ht="15.75" customHeight="1">
      <c r="A155" s="32" t="str">
        <f t="array" ref="A155">XLOOKUP(B155, city_to_region!$B$5:$B$96, city_to_region!$A$5:$A$96)</f>
        <v>Карагандинская</v>
      </c>
      <c r="B155" s="32" t="s">
        <v>3363</v>
      </c>
      <c r="C155" s="32" t="s">
        <v>3364</v>
      </c>
      <c r="D155" s="6" t="s">
        <v>3398</v>
      </c>
      <c r="E155" s="33">
        <v>45483.0</v>
      </c>
      <c r="F155" s="33">
        <v>45485.0</v>
      </c>
      <c r="G155" s="6" t="s">
        <v>3399</v>
      </c>
      <c r="H155" s="6" t="s">
        <v>3400</v>
      </c>
      <c r="I155" s="37">
        <v>1.882</v>
      </c>
      <c r="J155" s="35">
        <v>2024.0</v>
      </c>
    </row>
    <row r="156" ht="15.75" customHeight="1">
      <c r="A156" s="32" t="str">
        <f t="array" ref="A156">XLOOKUP(B156, city_to_region!$B$5:$B$96, city_to_region!$A$5:$A$96)</f>
        <v>Карагандинская</v>
      </c>
      <c r="B156" s="32" t="s">
        <v>3363</v>
      </c>
      <c r="C156" s="32" t="s">
        <v>3364</v>
      </c>
      <c r="D156" s="6" t="s">
        <v>3401</v>
      </c>
      <c r="E156" s="33">
        <v>45483.0</v>
      </c>
      <c r="F156" s="33">
        <v>45485.0</v>
      </c>
      <c r="G156" s="6" t="s">
        <v>3402</v>
      </c>
      <c r="H156" s="6" t="s">
        <v>3403</v>
      </c>
      <c r="I156" s="34">
        <v>0.39</v>
      </c>
      <c r="J156" s="35">
        <v>2024.0</v>
      </c>
    </row>
    <row r="157" ht="15.75" customHeight="1">
      <c r="A157" s="32" t="str">
        <f t="array" ref="A157">XLOOKUP(B157, city_to_region!$B$5:$B$96, city_to_region!$A$5:$A$96)</f>
        <v>Карагандинская</v>
      </c>
      <c r="B157" s="32" t="s">
        <v>3363</v>
      </c>
      <c r="C157" s="32" t="s">
        <v>3364</v>
      </c>
      <c r="D157" s="6" t="s">
        <v>3404</v>
      </c>
      <c r="E157" s="33">
        <v>45511.0</v>
      </c>
      <c r="F157" s="33">
        <v>45513.0</v>
      </c>
      <c r="G157" s="6" t="s">
        <v>3405</v>
      </c>
      <c r="H157" s="6" t="s">
        <v>3406</v>
      </c>
      <c r="I157" s="37">
        <v>0.237</v>
      </c>
      <c r="J157" s="35">
        <v>2024.0</v>
      </c>
    </row>
    <row r="158" ht="15.75" customHeight="1">
      <c r="A158" s="32" t="str">
        <f t="array" ref="A158">XLOOKUP(B158, city_to_region!$B$5:$B$96, city_to_region!$A$5:$A$96)</f>
        <v>Карагандинская</v>
      </c>
      <c r="B158" s="32" t="s">
        <v>3363</v>
      </c>
      <c r="C158" s="32" t="s">
        <v>3364</v>
      </c>
      <c r="D158" s="6" t="s">
        <v>3407</v>
      </c>
      <c r="E158" s="33">
        <v>45511.0</v>
      </c>
      <c r="F158" s="33">
        <v>45513.0</v>
      </c>
      <c r="G158" s="6" t="s">
        <v>3408</v>
      </c>
      <c r="H158" s="6" t="s">
        <v>3409</v>
      </c>
      <c r="I158" s="37">
        <v>2.023</v>
      </c>
      <c r="J158" s="35">
        <v>2024.0</v>
      </c>
    </row>
    <row r="159" ht="15.75" customHeight="1">
      <c r="A159" s="32" t="str">
        <f t="array" ref="A159">XLOOKUP(B159, city_to_region!$B$5:$B$96, city_to_region!$A$5:$A$96)</f>
        <v>Карагандинская</v>
      </c>
      <c r="B159" s="32" t="s">
        <v>3363</v>
      </c>
      <c r="C159" s="32" t="s">
        <v>3364</v>
      </c>
      <c r="D159" s="6" t="s">
        <v>3410</v>
      </c>
      <c r="E159" s="33">
        <v>45511.0</v>
      </c>
      <c r="F159" s="33">
        <v>45513.0</v>
      </c>
      <c r="G159" s="6" t="s">
        <v>3411</v>
      </c>
      <c r="H159" s="6" t="s">
        <v>3412</v>
      </c>
      <c r="I159" s="36">
        <v>37.4</v>
      </c>
      <c r="J159" s="35">
        <v>2024.0</v>
      </c>
    </row>
    <row r="160" ht="15.75" customHeight="1">
      <c r="A160" s="32" t="str">
        <f t="array" ref="A160">XLOOKUP(B160, city_to_region!$B$5:$B$96, city_to_region!$A$5:$A$96)</f>
        <v>Карагандинская</v>
      </c>
      <c r="B160" s="32" t="s">
        <v>3363</v>
      </c>
      <c r="C160" s="32" t="s">
        <v>3364</v>
      </c>
      <c r="D160" s="6" t="s">
        <v>3413</v>
      </c>
      <c r="E160" s="33">
        <v>45539.0</v>
      </c>
      <c r="F160" s="33">
        <v>45540.0</v>
      </c>
      <c r="G160" s="6" t="s">
        <v>3414</v>
      </c>
      <c r="H160" s="6" t="s">
        <v>3415</v>
      </c>
      <c r="I160" s="37">
        <v>1.844</v>
      </c>
      <c r="J160" s="35">
        <v>2024.0</v>
      </c>
    </row>
    <row r="161" ht="15.75" customHeight="1">
      <c r="A161" s="32" t="str">
        <f t="array" ref="A161">XLOOKUP(B161, city_to_region!$B$5:$B$96, city_to_region!$A$5:$A$96)</f>
        <v>Карагандинская</v>
      </c>
      <c r="B161" s="32" t="s">
        <v>3363</v>
      </c>
      <c r="C161" s="32" t="s">
        <v>3364</v>
      </c>
      <c r="D161" s="6" t="s">
        <v>3416</v>
      </c>
      <c r="E161" s="33">
        <v>45539.0</v>
      </c>
      <c r="F161" s="33">
        <v>45540.0</v>
      </c>
      <c r="G161" s="6" t="s">
        <v>3417</v>
      </c>
      <c r="H161" s="6" t="s">
        <v>3418</v>
      </c>
      <c r="I161" s="38">
        <v>375.0</v>
      </c>
      <c r="J161" s="35">
        <v>2024.0</v>
      </c>
    </row>
    <row r="162" ht="15.75" customHeight="1">
      <c r="A162" s="32" t="str">
        <f t="array" ref="A162">XLOOKUP(B162, city_to_region!$B$5:$B$96, city_to_region!$A$5:$A$96)</f>
        <v>Карагандинская</v>
      </c>
      <c r="B162" s="32" t="s">
        <v>3363</v>
      </c>
      <c r="C162" s="32" t="s">
        <v>3364</v>
      </c>
      <c r="D162" s="6" t="s">
        <v>3419</v>
      </c>
      <c r="E162" s="33">
        <v>45568.0</v>
      </c>
      <c r="F162" s="33">
        <v>45569.0</v>
      </c>
      <c r="G162" s="6" t="s">
        <v>3420</v>
      </c>
      <c r="H162" s="6" t="s">
        <v>3421</v>
      </c>
      <c r="I162" s="37">
        <v>0.193</v>
      </c>
      <c r="J162" s="35">
        <v>2024.0</v>
      </c>
    </row>
    <row r="163" ht="15.75" customHeight="1">
      <c r="A163" s="32" t="str">
        <f t="array" ref="A163">XLOOKUP(B163, city_to_region!$B$5:$B$96, city_to_region!$A$5:$A$96)</f>
        <v>Карагандинская</v>
      </c>
      <c r="B163" s="32" t="s">
        <v>3363</v>
      </c>
      <c r="C163" s="32" t="s">
        <v>3364</v>
      </c>
      <c r="D163" s="6" t="s">
        <v>3422</v>
      </c>
      <c r="E163" s="33">
        <v>45568.0</v>
      </c>
      <c r="F163" s="33">
        <v>45569.0</v>
      </c>
      <c r="G163" s="6" t="s">
        <v>3423</v>
      </c>
      <c r="H163" s="6" t="s">
        <v>3424</v>
      </c>
      <c r="I163" s="37">
        <v>1.965</v>
      </c>
      <c r="J163" s="35">
        <v>2024.0</v>
      </c>
    </row>
    <row r="164" ht="15.75" customHeight="1">
      <c r="A164" s="32" t="str">
        <f t="array" ref="A164">XLOOKUP(B164, city_to_region!$B$5:$B$96, city_to_region!$A$5:$A$96)</f>
        <v>Карагандинская</v>
      </c>
      <c r="B164" s="32" t="s">
        <v>3363</v>
      </c>
      <c r="C164" s="32" t="s">
        <v>3364</v>
      </c>
      <c r="D164" s="6" t="s">
        <v>3425</v>
      </c>
      <c r="E164" s="33">
        <v>45568.0</v>
      </c>
      <c r="F164" s="33">
        <v>45569.0</v>
      </c>
      <c r="G164" s="6" t="s">
        <v>3426</v>
      </c>
      <c r="H164" s="6" t="s">
        <v>3427</v>
      </c>
      <c r="I164" s="36">
        <v>38.5</v>
      </c>
      <c r="J164" s="35">
        <v>2024.0</v>
      </c>
    </row>
    <row r="165" ht="15.75" customHeight="1">
      <c r="A165" s="32" t="str">
        <f t="array" ref="A165">XLOOKUP(B165, city_to_region!$B$5:$B$96, city_to_region!$A$5:$A$96)</f>
        <v>Карагандинская</v>
      </c>
      <c r="B165" s="32" t="s">
        <v>3363</v>
      </c>
      <c r="C165" s="32" t="s">
        <v>3364</v>
      </c>
      <c r="D165" s="6" t="s">
        <v>3428</v>
      </c>
      <c r="E165" s="33">
        <v>45607.0</v>
      </c>
      <c r="F165" s="33">
        <v>45608.0</v>
      </c>
      <c r="G165" s="6" t="s">
        <v>3429</v>
      </c>
      <c r="H165" s="6" t="s">
        <v>3430</v>
      </c>
      <c r="I165" s="36">
        <v>10.1</v>
      </c>
      <c r="J165" s="35">
        <v>2024.0</v>
      </c>
    </row>
    <row r="166" ht="15.75" customHeight="1">
      <c r="A166" s="32" t="str">
        <f t="array" ref="A166">XLOOKUP(B166, city_to_region!$B$5:$B$96, city_to_region!$A$5:$A$96)</f>
        <v>Карагандинская</v>
      </c>
      <c r="B166" s="32" t="s">
        <v>3363</v>
      </c>
      <c r="C166" s="32" t="s">
        <v>3364</v>
      </c>
      <c r="D166" s="6" t="s">
        <v>3431</v>
      </c>
      <c r="E166" s="33">
        <v>45607.0</v>
      </c>
      <c r="F166" s="33">
        <v>45608.0</v>
      </c>
      <c r="G166" s="6" t="s">
        <v>3432</v>
      </c>
      <c r="H166" s="6" t="s">
        <v>3433</v>
      </c>
      <c r="I166" s="37">
        <v>1.886</v>
      </c>
      <c r="J166" s="35">
        <v>2024.0</v>
      </c>
    </row>
    <row r="167" ht="15.75" customHeight="1">
      <c r="A167" s="32" t="str">
        <f t="array" ref="A167">XLOOKUP(B167, city_to_region!$B$5:$B$96, city_to_region!$A$5:$A$96)</f>
        <v>Карагандинская</v>
      </c>
      <c r="B167" s="32" t="s">
        <v>3363</v>
      </c>
      <c r="C167" s="32" t="s">
        <v>3364</v>
      </c>
      <c r="D167" s="6" t="s">
        <v>3434</v>
      </c>
      <c r="E167" s="33">
        <v>45607.0</v>
      </c>
      <c r="F167" s="33">
        <v>45608.0</v>
      </c>
      <c r="G167" s="6" t="s">
        <v>3435</v>
      </c>
      <c r="H167" s="6" t="s">
        <v>3436</v>
      </c>
      <c r="I167" s="36">
        <v>38.5</v>
      </c>
      <c r="J167" s="35">
        <v>2024.0</v>
      </c>
    </row>
    <row r="168" ht="15.75" customHeight="1">
      <c r="A168" s="32" t="str">
        <f t="array" ref="A168">XLOOKUP(B168, city_to_region!$B$5:$B$96, city_to_region!$A$5:$A$96)</f>
        <v>Карагандинская</v>
      </c>
      <c r="B168" s="32" t="s">
        <v>3363</v>
      </c>
      <c r="C168" s="32" t="s">
        <v>3364</v>
      </c>
      <c r="D168" s="6" t="s">
        <v>3437</v>
      </c>
      <c r="E168" s="33">
        <v>45607.0</v>
      </c>
      <c r="F168" s="33">
        <v>45609.0</v>
      </c>
      <c r="G168" s="6" t="s">
        <v>3438</v>
      </c>
      <c r="H168" s="6" t="s">
        <v>3439</v>
      </c>
      <c r="I168" s="37">
        <v>0.206</v>
      </c>
      <c r="J168" s="35">
        <v>2024.0</v>
      </c>
    </row>
    <row r="169" ht="23.25" customHeight="1">
      <c r="A169" s="32" t="str">
        <f t="array" ref="A169">XLOOKUP(B169, city_to_region!$B$5:$B$96, city_to_region!$A$5:$A$96)</f>
        <v>Восточно-Казахстанская</v>
      </c>
      <c r="B169" s="32" t="s">
        <v>2812</v>
      </c>
      <c r="C169" s="32" t="s">
        <v>3440</v>
      </c>
      <c r="D169" s="6" t="s">
        <v>3441</v>
      </c>
      <c r="E169" s="33">
        <v>45294.0</v>
      </c>
      <c r="F169" s="33">
        <v>45295.0</v>
      </c>
      <c r="G169" s="6" t="s">
        <v>3442</v>
      </c>
      <c r="H169" s="6" t="s">
        <v>3443</v>
      </c>
      <c r="I169" s="37">
        <v>0.234</v>
      </c>
      <c r="J169" s="35">
        <v>2024.0</v>
      </c>
    </row>
    <row r="170" ht="29.25" customHeight="1">
      <c r="A170" s="32" t="str">
        <f t="array" ref="A170">XLOOKUP(B170, city_to_region!$B$5:$B$96, city_to_region!$A$5:$A$96)</f>
        <v>Восточно-Казахстанская</v>
      </c>
      <c r="B170" s="32" t="s">
        <v>2812</v>
      </c>
      <c r="C170" s="32" t="s">
        <v>3444</v>
      </c>
      <c r="D170" s="6" t="s">
        <v>3445</v>
      </c>
      <c r="E170" s="33">
        <v>45383.0</v>
      </c>
      <c r="F170" s="33">
        <v>45385.0</v>
      </c>
      <c r="G170" s="6" t="s">
        <v>3446</v>
      </c>
      <c r="H170" s="6" t="s">
        <v>3447</v>
      </c>
      <c r="I170" s="34">
        <v>0.38</v>
      </c>
      <c r="J170" s="35">
        <v>2024.0</v>
      </c>
    </row>
    <row r="171" ht="31.5" customHeight="1">
      <c r="A171" s="32" t="str">
        <f t="array" ref="A171">XLOOKUP(B171, city_to_region!$B$5:$B$96, city_to_region!$A$5:$A$96)</f>
        <v>Восточно-Казахстанская</v>
      </c>
      <c r="B171" s="32" t="s">
        <v>2812</v>
      </c>
      <c r="C171" s="32" t="s">
        <v>3448</v>
      </c>
      <c r="D171" s="6" t="s">
        <v>3449</v>
      </c>
      <c r="E171" s="33">
        <v>45383.0</v>
      </c>
      <c r="F171" s="33">
        <v>45385.0</v>
      </c>
      <c r="G171" s="6" t="s">
        <v>3450</v>
      </c>
      <c r="H171" s="6" t="s">
        <v>3451</v>
      </c>
      <c r="I171" s="34">
        <v>0.68</v>
      </c>
      <c r="J171" s="35">
        <v>2024.0</v>
      </c>
    </row>
    <row r="172" ht="15.75" customHeight="1">
      <c r="A172" s="32" t="str">
        <f t="array" ref="A172">XLOOKUP(B172, city_to_region!$B$5:$B$96, city_to_region!$A$5:$A$96)</f>
        <v>Восточно-Казахстанская</v>
      </c>
      <c r="B172" s="32" t="s">
        <v>2794</v>
      </c>
      <c r="C172" s="32" t="s">
        <v>3452</v>
      </c>
      <c r="D172" s="6" t="s">
        <v>3453</v>
      </c>
      <c r="E172" s="33">
        <v>45383.0</v>
      </c>
      <c r="F172" s="33">
        <v>45385.0</v>
      </c>
      <c r="G172" s="6" t="s">
        <v>3454</v>
      </c>
      <c r="H172" s="6" t="s">
        <v>3455</v>
      </c>
      <c r="I172" s="34">
        <v>0.85</v>
      </c>
      <c r="J172" s="35">
        <v>2024.0</v>
      </c>
    </row>
    <row r="173" ht="15.75" customHeight="1">
      <c r="A173" s="32" t="str">
        <f t="array" ref="A173">XLOOKUP(B173, city_to_region!$B$5:$B$96, city_to_region!$A$5:$A$96)</f>
        <v>Восточно-Казахстанская</v>
      </c>
      <c r="B173" s="32" t="s">
        <v>2794</v>
      </c>
      <c r="C173" s="32" t="s">
        <v>3456</v>
      </c>
      <c r="D173" s="6" t="s">
        <v>3457</v>
      </c>
      <c r="E173" s="33">
        <v>45383.0</v>
      </c>
      <c r="F173" s="33">
        <v>45385.0</v>
      </c>
      <c r="G173" s="6" t="s">
        <v>3458</v>
      </c>
      <c r="H173" s="6" t="s">
        <v>3459</v>
      </c>
      <c r="I173" s="34">
        <v>0.74</v>
      </c>
      <c r="J173" s="35">
        <v>2024.0</v>
      </c>
    </row>
    <row r="174" ht="15.75" customHeight="1">
      <c r="A174" s="32" t="str">
        <f t="array" ref="A174">XLOOKUP(B174, city_to_region!$B$5:$B$96, city_to_region!$A$5:$A$96)</f>
        <v>Восточно-Казахстанская</v>
      </c>
      <c r="B174" s="32" t="s">
        <v>2794</v>
      </c>
      <c r="C174" s="32" t="s">
        <v>3460</v>
      </c>
      <c r="D174" s="6" t="s">
        <v>3461</v>
      </c>
      <c r="E174" s="33">
        <v>45383.0</v>
      </c>
      <c r="F174" s="33">
        <v>45385.0</v>
      </c>
      <c r="G174" s="6" t="s">
        <v>3462</v>
      </c>
      <c r="H174" s="6" t="s">
        <v>3463</v>
      </c>
      <c r="I174" s="34">
        <v>0.72</v>
      </c>
      <c r="J174" s="35">
        <v>2024.0</v>
      </c>
    </row>
    <row r="175" ht="15.75" customHeight="1">
      <c r="A175" s="32" t="str">
        <f t="array" ref="A175">XLOOKUP(B175, city_to_region!$B$5:$B$96, city_to_region!$A$5:$A$96)</f>
        <v>Восточно-Казахстанская</v>
      </c>
      <c r="B175" s="32" t="s">
        <v>2794</v>
      </c>
      <c r="C175" s="32" t="s">
        <v>3464</v>
      </c>
      <c r="D175" s="6" t="s">
        <v>3465</v>
      </c>
      <c r="E175" s="33">
        <v>45384.0</v>
      </c>
      <c r="F175" s="33">
        <v>45385.0</v>
      </c>
      <c r="G175" s="6" t="s">
        <v>3466</v>
      </c>
      <c r="H175" s="6" t="s">
        <v>3467</v>
      </c>
      <c r="I175" s="34">
        <v>0.68</v>
      </c>
      <c r="J175" s="35">
        <v>2024.0</v>
      </c>
    </row>
    <row r="176" ht="15.75" customHeight="1">
      <c r="A176" s="32" t="str">
        <f t="array" ref="A176">XLOOKUP(B176, city_to_region!$B$5:$B$96, city_to_region!$A$5:$A$96)</f>
        <v>Восточно-Казахстанская</v>
      </c>
      <c r="B176" s="32" t="s">
        <v>2794</v>
      </c>
      <c r="C176" s="32" t="s">
        <v>3468</v>
      </c>
      <c r="D176" s="6" t="s">
        <v>3469</v>
      </c>
      <c r="E176" s="33">
        <v>45384.0</v>
      </c>
      <c r="F176" s="33">
        <v>45385.0</v>
      </c>
      <c r="G176" s="6" t="s">
        <v>3470</v>
      </c>
      <c r="H176" s="6" t="s">
        <v>3471</v>
      </c>
      <c r="I176" s="34">
        <v>0.43</v>
      </c>
      <c r="J176" s="35">
        <v>2024.0</v>
      </c>
    </row>
    <row r="177" ht="15.75" customHeight="1">
      <c r="A177" s="32" t="str">
        <f t="array" ref="A177">XLOOKUP(B177, city_to_region!$B$5:$B$96, city_to_region!$A$5:$A$96)</f>
        <v>Восточно-Казахстанская</v>
      </c>
      <c r="B177" s="32" t="s">
        <v>2847</v>
      </c>
      <c r="C177" s="32" t="s">
        <v>3472</v>
      </c>
      <c r="D177" s="6" t="s">
        <v>3473</v>
      </c>
      <c r="E177" s="33">
        <v>45537.0</v>
      </c>
      <c r="F177" s="33">
        <v>45539.0</v>
      </c>
      <c r="G177" s="6" t="s">
        <v>3474</v>
      </c>
      <c r="H177" s="6" t="s">
        <v>3475</v>
      </c>
      <c r="I177" s="34">
        <v>0.68</v>
      </c>
      <c r="J177" s="35">
        <v>2024.0</v>
      </c>
    </row>
    <row r="178" ht="15.75" customHeight="1">
      <c r="A178" s="32" t="str">
        <f t="array" ref="A178">XLOOKUP(B178, city_to_region!$B$5:$B$96, city_to_region!$A$5:$A$96)</f>
        <v>Восточно-Казахстанская</v>
      </c>
      <c r="B178" s="32" t="s">
        <v>2847</v>
      </c>
      <c r="C178" s="32" t="s">
        <v>3476</v>
      </c>
      <c r="D178" s="6" t="s">
        <v>3477</v>
      </c>
      <c r="E178" s="33">
        <v>45384.0</v>
      </c>
      <c r="F178" s="33">
        <v>45385.0</v>
      </c>
      <c r="G178" s="6" t="s">
        <v>3478</v>
      </c>
      <c r="H178" s="6" t="s">
        <v>3479</v>
      </c>
      <c r="I178" s="34">
        <v>0.83</v>
      </c>
      <c r="J178" s="35">
        <v>2024.0</v>
      </c>
    </row>
    <row r="179" ht="15.75" customHeight="1">
      <c r="A179" s="32" t="str">
        <f t="array" ref="A179">XLOOKUP(B179, city_to_region!$B$5:$B$96, city_to_region!$A$5:$A$96)</f>
        <v>Восточно-Казахстанская</v>
      </c>
      <c r="B179" s="32" t="s">
        <v>2847</v>
      </c>
      <c r="C179" s="32" t="s">
        <v>3480</v>
      </c>
      <c r="D179" s="6" t="s">
        <v>3481</v>
      </c>
      <c r="E179" s="33">
        <v>45537.0</v>
      </c>
      <c r="F179" s="33">
        <v>45539.0</v>
      </c>
      <c r="G179" s="6" t="s">
        <v>3482</v>
      </c>
      <c r="H179" s="6" t="s">
        <v>3483</v>
      </c>
      <c r="I179" s="34">
        <v>0.81</v>
      </c>
      <c r="J179" s="35">
        <v>2024.0</v>
      </c>
    </row>
    <row r="180" ht="15.75" customHeight="1">
      <c r="A180" s="32" t="str">
        <f t="array" ref="A180">XLOOKUP(B180, city_to_region!$B$5:$B$96, city_to_region!$A$5:$A$96)</f>
        <v>Восточно-Казахстанская</v>
      </c>
      <c r="B180" s="32" t="s">
        <v>3484</v>
      </c>
      <c r="C180" s="32" t="s">
        <v>3485</v>
      </c>
      <c r="D180" s="6" t="s">
        <v>3486</v>
      </c>
      <c r="E180" s="33">
        <v>45294.0</v>
      </c>
      <c r="F180" s="33">
        <v>45295.0</v>
      </c>
      <c r="G180" s="6" t="s">
        <v>3487</v>
      </c>
      <c r="H180" s="6" t="s">
        <v>3488</v>
      </c>
      <c r="I180" s="37">
        <v>0.112</v>
      </c>
      <c r="J180" s="35">
        <v>2024.0</v>
      </c>
    </row>
    <row r="181" ht="15.75" customHeight="1">
      <c r="A181" s="32" t="str">
        <f t="array" ref="A181">XLOOKUP(B181, city_to_region!$B$5:$B$96, city_to_region!$A$5:$A$96)</f>
        <v>Восточно-Казахстанская</v>
      </c>
      <c r="B181" s="32" t="s">
        <v>3484</v>
      </c>
      <c r="C181" s="32" t="s">
        <v>3485</v>
      </c>
      <c r="D181" s="6" t="s">
        <v>3489</v>
      </c>
      <c r="E181" s="33">
        <v>45355.0</v>
      </c>
      <c r="F181" s="33">
        <v>45357.0</v>
      </c>
      <c r="G181" s="6" t="s">
        <v>3490</v>
      </c>
      <c r="H181" s="6" t="s">
        <v>3491</v>
      </c>
      <c r="I181" s="37">
        <v>0.152</v>
      </c>
      <c r="J181" s="35">
        <v>2024.0</v>
      </c>
    </row>
    <row r="182" ht="15.75" customHeight="1">
      <c r="A182" s="32" t="str">
        <f t="array" ref="A182">XLOOKUP(B182, city_to_region!$B$5:$B$96, city_to_region!$A$5:$A$96)</f>
        <v>Восточно-Казахстанская</v>
      </c>
      <c r="B182" s="32" t="s">
        <v>3492</v>
      </c>
      <c r="C182" s="32" t="s">
        <v>3485</v>
      </c>
      <c r="D182" s="6" t="s">
        <v>3493</v>
      </c>
      <c r="E182" s="33">
        <v>45294.0</v>
      </c>
      <c r="F182" s="33">
        <v>45295.0</v>
      </c>
      <c r="G182" s="6" t="s">
        <v>3494</v>
      </c>
      <c r="H182" s="6" t="s">
        <v>3495</v>
      </c>
      <c r="I182" s="37">
        <v>0.207</v>
      </c>
      <c r="J182" s="35">
        <v>2024.0</v>
      </c>
    </row>
    <row r="183" ht="15.75" customHeight="1">
      <c r="A183" s="32" t="str">
        <f t="array" ref="A183">XLOOKUP(B183, city_to_region!$B$5:$B$96, city_to_region!$A$5:$A$96)</f>
        <v>Восточно-Казахстанская</v>
      </c>
      <c r="B183" s="32" t="s">
        <v>3492</v>
      </c>
      <c r="C183" s="32" t="s">
        <v>3485</v>
      </c>
      <c r="D183" s="6" t="s">
        <v>3496</v>
      </c>
      <c r="E183" s="33">
        <v>45294.0</v>
      </c>
      <c r="F183" s="33">
        <v>45296.0</v>
      </c>
      <c r="G183" s="6" t="s">
        <v>3497</v>
      </c>
      <c r="H183" s="6" t="s">
        <v>3498</v>
      </c>
      <c r="I183" s="37">
        <v>0.02</v>
      </c>
      <c r="J183" s="35">
        <v>2024.0</v>
      </c>
    </row>
    <row r="184" ht="15.75" customHeight="1">
      <c r="A184" s="32" t="str">
        <f t="array" ref="A184">XLOOKUP(B184, city_to_region!$B$5:$B$96, city_to_region!$A$5:$A$96)</f>
        <v>Восточно-Казахстанская</v>
      </c>
      <c r="B184" s="32" t="s">
        <v>3492</v>
      </c>
      <c r="C184" s="32" t="s">
        <v>3485</v>
      </c>
      <c r="D184" s="6" t="s">
        <v>3499</v>
      </c>
      <c r="E184" s="33">
        <v>45447.0</v>
      </c>
      <c r="F184" s="33">
        <v>45448.0</v>
      </c>
      <c r="G184" s="6" t="s">
        <v>3500</v>
      </c>
      <c r="H184" s="6" t="s">
        <v>3501</v>
      </c>
      <c r="I184" s="37">
        <v>1.122</v>
      </c>
      <c r="J184" s="35">
        <v>2024.0</v>
      </c>
    </row>
    <row r="185" ht="15.75" customHeight="1">
      <c r="A185" s="32" t="str">
        <f t="array" ref="A185">XLOOKUP(B185, city_to_region!$B$5:$B$96, city_to_region!$A$5:$A$96)</f>
        <v>Восточно-Казахстанская</v>
      </c>
      <c r="B185" s="32" t="s">
        <v>3492</v>
      </c>
      <c r="C185" s="32" t="s">
        <v>3485</v>
      </c>
      <c r="D185" s="6" t="s">
        <v>3502</v>
      </c>
      <c r="E185" s="33">
        <v>45447.0</v>
      </c>
      <c r="F185" s="33">
        <v>45448.0</v>
      </c>
      <c r="G185" s="6" t="s">
        <v>3503</v>
      </c>
      <c r="H185" s="6" t="s">
        <v>3504</v>
      </c>
      <c r="I185" s="37">
        <v>0.02</v>
      </c>
      <c r="J185" s="35">
        <v>2024.0</v>
      </c>
    </row>
    <row r="186" ht="15.75" customHeight="1">
      <c r="A186" s="32" t="str">
        <f t="array" ref="A186">XLOOKUP(B186, city_to_region!$B$5:$B$96, city_to_region!$A$5:$A$96)</f>
        <v>Восточно-Казахстанская</v>
      </c>
      <c r="B186" s="32" t="s">
        <v>3492</v>
      </c>
      <c r="C186" s="32" t="s">
        <v>3485</v>
      </c>
      <c r="D186" s="6" t="s">
        <v>3505</v>
      </c>
      <c r="E186" s="33">
        <v>45537.0</v>
      </c>
      <c r="F186" s="33">
        <v>45538.0</v>
      </c>
      <c r="G186" s="6" t="s">
        <v>3506</v>
      </c>
      <c r="H186" s="6" t="s">
        <v>3507</v>
      </c>
      <c r="I186" s="37">
        <v>0.473</v>
      </c>
      <c r="J186" s="35">
        <v>2024.0</v>
      </c>
    </row>
    <row r="187" ht="15.75" customHeight="1">
      <c r="A187" s="32" t="str">
        <f t="array" ref="A187">XLOOKUP(B187, city_to_region!$B$5:$B$96, city_to_region!$A$5:$A$96)</f>
        <v>Восточно-Казахстанская</v>
      </c>
      <c r="B187" s="32" t="s">
        <v>3492</v>
      </c>
      <c r="C187" s="32" t="s">
        <v>3485</v>
      </c>
      <c r="D187" s="6" t="s">
        <v>3508</v>
      </c>
      <c r="E187" s="33">
        <v>45537.0</v>
      </c>
      <c r="F187" s="33">
        <v>45539.0</v>
      </c>
      <c r="G187" s="6" t="s">
        <v>3509</v>
      </c>
      <c r="H187" s="6" t="s">
        <v>3510</v>
      </c>
      <c r="I187" s="37">
        <v>0.017</v>
      </c>
      <c r="J187" s="35">
        <v>2024.0</v>
      </c>
    </row>
    <row r="188" ht="15.75" customHeight="1">
      <c r="A188" s="32" t="str">
        <f t="array" ref="A188">XLOOKUP(B188, city_to_region!$B$5:$B$96, city_to_region!$A$5:$A$96)</f>
        <v>Восточно-Казахстанская</v>
      </c>
      <c r="B188" s="32" t="s">
        <v>2812</v>
      </c>
      <c r="C188" s="32" t="s">
        <v>3511</v>
      </c>
      <c r="D188" s="6" t="s">
        <v>3512</v>
      </c>
      <c r="E188" s="33">
        <v>45356.0</v>
      </c>
      <c r="F188" s="33">
        <v>45357.0</v>
      </c>
      <c r="G188" s="6" t="s">
        <v>3513</v>
      </c>
      <c r="H188" s="6" t="s">
        <v>3514</v>
      </c>
      <c r="I188" s="37">
        <v>0.162</v>
      </c>
      <c r="J188" s="35">
        <v>2024.0</v>
      </c>
    </row>
    <row r="189" ht="15.75" customHeight="1">
      <c r="A189" s="32" t="str">
        <f t="array" ref="A189">XLOOKUP(B189, city_to_region!$B$5:$B$96, city_to_region!$A$5:$A$96)</f>
        <v>Восточно-Казахстанская</v>
      </c>
      <c r="B189" s="32" t="s">
        <v>2812</v>
      </c>
      <c r="C189" s="32" t="s">
        <v>3515</v>
      </c>
      <c r="D189" s="6" t="s">
        <v>3516</v>
      </c>
      <c r="E189" s="33">
        <v>45383.0</v>
      </c>
      <c r="F189" s="33">
        <v>45385.0</v>
      </c>
      <c r="G189" s="6" t="s">
        <v>3517</v>
      </c>
      <c r="H189" s="6" t="s">
        <v>3518</v>
      </c>
      <c r="I189" s="34">
        <v>0.56</v>
      </c>
      <c r="J189" s="35">
        <v>2024.0</v>
      </c>
    </row>
    <row r="190" ht="15.75" customHeight="1">
      <c r="A190" s="32" t="str">
        <f t="array" ref="A190">XLOOKUP(B190, city_to_region!$B$5:$B$96, city_to_region!$A$5:$A$96)</f>
        <v>Восточно-Казахстанская</v>
      </c>
      <c r="B190" s="32" t="s">
        <v>2812</v>
      </c>
      <c r="C190" s="32" t="s">
        <v>3519</v>
      </c>
      <c r="D190" s="6" t="s">
        <v>3520</v>
      </c>
      <c r="E190" s="33">
        <v>45448.0</v>
      </c>
      <c r="F190" s="33">
        <v>45449.0</v>
      </c>
      <c r="G190" s="6" t="s">
        <v>3521</v>
      </c>
      <c r="H190" s="6" t="s">
        <v>3522</v>
      </c>
      <c r="I190" s="34">
        <v>0.34</v>
      </c>
      <c r="J190" s="35">
        <v>2024.0</v>
      </c>
    </row>
    <row r="191" ht="15.75" customHeight="1">
      <c r="A191" s="32" t="str">
        <f t="array" ref="A191">XLOOKUP(B191, city_to_region!$B$5:$B$96, city_to_region!$A$5:$A$96)</f>
        <v>Восточно-Казахстанская</v>
      </c>
      <c r="B191" s="32" t="s">
        <v>2812</v>
      </c>
      <c r="C191" s="32" t="s">
        <v>3523</v>
      </c>
      <c r="D191" s="6" t="s">
        <v>3524</v>
      </c>
      <c r="E191" s="33">
        <v>45383.0</v>
      </c>
      <c r="F191" s="33">
        <v>45385.0</v>
      </c>
      <c r="G191" s="6" t="s">
        <v>3525</v>
      </c>
      <c r="H191" s="6" t="s">
        <v>3526</v>
      </c>
      <c r="I191" s="34">
        <v>0.52</v>
      </c>
      <c r="J191" s="35">
        <v>2024.0</v>
      </c>
    </row>
    <row r="192" ht="15.75" customHeight="1">
      <c r="A192" s="32" t="str">
        <f t="array" ref="A192">XLOOKUP(B192, city_to_region!$B$5:$B$96, city_to_region!$A$5:$A$96)</f>
        <v>Восточно-Казахстанская</v>
      </c>
      <c r="B192" s="32" t="s">
        <v>2812</v>
      </c>
      <c r="C192" s="32" t="s">
        <v>3527</v>
      </c>
      <c r="D192" s="6" t="s">
        <v>3528</v>
      </c>
      <c r="E192" s="33">
        <v>45448.0</v>
      </c>
      <c r="F192" s="33">
        <v>45449.0</v>
      </c>
      <c r="G192" s="6" t="s">
        <v>3529</v>
      </c>
      <c r="H192" s="6" t="s">
        <v>3530</v>
      </c>
      <c r="I192" s="34">
        <v>0.46</v>
      </c>
      <c r="J192" s="35">
        <v>2024.0</v>
      </c>
    </row>
    <row r="193" ht="15.75" customHeight="1">
      <c r="A193" s="32" t="str">
        <f t="array" ref="A193">XLOOKUP(B193, city_to_region!$B$5:$B$96, city_to_region!$A$5:$A$96)</f>
        <v>Восточно-Казахстанская</v>
      </c>
      <c r="B193" s="32" t="s">
        <v>2812</v>
      </c>
      <c r="C193" s="32" t="s">
        <v>3531</v>
      </c>
      <c r="D193" s="6" t="s">
        <v>3532</v>
      </c>
      <c r="E193" s="33">
        <v>45537.0</v>
      </c>
      <c r="F193" s="33">
        <v>45538.0</v>
      </c>
      <c r="G193" s="6" t="s">
        <v>3533</v>
      </c>
      <c r="H193" s="6" t="s">
        <v>3534</v>
      </c>
      <c r="I193" s="34">
        <v>0.47</v>
      </c>
      <c r="J193" s="35">
        <v>2024.0</v>
      </c>
    </row>
    <row r="194" ht="15.75" customHeight="1">
      <c r="A194" s="32" t="str">
        <f t="array" ref="A194">XLOOKUP(B194, city_to_region!$B$5:$B$96, city_to_region!$A$5:$A$96)</f>
        <v>Восточно-Казахстанская</v>
      </c>
      <c r="B194" s="32" t="s">
        <v>2812</v>
      </c>
      <c r="C194" s="32" t="s">
        <v>3535</v>
      </c>
      <c r="D194" s="6" t="s">
        <v>3536</v>
      </c>
      <c r="E194" s="33">
        <v>45383.0</v>
      </c>
      <c r="F194" s="33">
        <v>45385.0</v>
      </c>
      <c r="G194" s="6" t="s">
        <v>3537</v>
      </c>
      <c r="H194" s="6" t="s">
        <v>3538</v>
      </c>
      <c r="I194" s="34">
        <v>0.49</v>
      </c>
      <c r="J194" s="35">
        <v>2024.0</v>
      </c>
    </row>
    <row r="195" ht="15.75" customHeight="1">
      <c r="A195" s="32" t="str">
        <f t="array" ref="A195">XLOOKUP(B195, city_to_region!$B$5:$B$96, city_to_region!$A$5:$A$96)</f>
        <v>Восточно-Казахстанская</v>
      </c>
      <c r="B195" s="32" t="s">
        <v>2812</v>
      </c>
      <c r="C195" s="32" t="s">
        <v>3539</v>
      </c>
      <c r="D195" s="6" t="s">
        <v>3540</v>
      </c>
      <c r="E195" s="33">
        <v>45448.0</v>
      </c>
      <c r="F195" s="33">
        <v>45449.0</v>
      </c>
      <c r="G195" s="6" t="s">
        <v>3541</v>
      </c>
      <c r="H195" s="6" t="s">
        <v>3542</v>
      </c>
      <c r="I195" s="34">
        <v>0.47</v>
      </c>
      <c r="J195" s="35">
        <v>2024.0</v>
      </c>
    </row>
    <row r="196" ht="15.75" customHeight="1">
      <c r="A196" s="32" t="str">
        <f t="array" ref="A196">XLOOKUP(B196, city_to_region!$B$5:$B$96, city_to_region!$A$5:$A$96)</f>
        <v>Восточно-Казахстанская</v>
      </c>
      <c r="B196" s="32" t="s">
        <v>2812</v>
      </c>
      <c r="C196" s="32" t="s">
        <v>3543</v>
      </c>
      <c r="D196" s="6" t="s">
        <v>3544</v>
      </c>
      <c r="E196" s="33">
        <v>45537.0</v>
      </c>
      <c r="F196" s="33">
        <v>45538.0</v>
      </c>
      <c r="G196" s="6" t="s">
        <v>3545</v>
      </c>
      <c r="H196" s="6" t="s">
        <v>3546</v>
      </c>
      <c r="I196" s="34">
        <v>0.35</v>
      </c>
      <c r="J196" s="35">
        <v>2024.0</v>
      </c>
    </row>
    <row r="197" ht="15.75" customHeight="1">
      <c r="A197" s="32" t="str">
        <f t="array" ref="A197">XLOOKUP(B197, city_to_region!$B$5:$B$96, city_to_region!$A$5:$A$96)</f>
        <v>Восточно-Казахстанская</v>
      </c>
      <c r="B197" s="32" t="s">
        <v>2812</v>
      </c>
      <c r="C197" s="32" t="s">
        <v>3547</v>
      </c>
      <c r="D197" s="6" t="s">
        <v>3548</v>
      </c>
      <c r="E197" s="33">
        <v>45448.0</v>
      </c>
      <c r="F197" s="33">
        <v>45449.0</v>
      </c>
      <c r="G197" s="6" t="s">
        <v>3549</v>
      </c>
      <c r="H197" s="6" t="s">
        <v>3550</v>
      </c>
      <c r="I197" s="34">
        <v>1.04</v>
      </c>
      <c r="J197" s="35">
        <v>2024.0</v>
      </c>
    </row>
    <row r="198" ht="15.75" customHeight="1">
      <c r="A198" s="32" t="str">
        <f t="array" ref="A198">XLOOKUP(B198, city_to_region!$B$5:$B$96, city_to_region!$A$5:$A$96)</f>
        <v>Восточно-Казахстанская</v>
      </c>
      <c r="B198" s="32" t="s">
        <v>2812</v>
      </c>
      <c r="C198" s="32" t="s">
        <v>3551</v>
      </c>
      <c r="D198" s="6" t="s">
        <v>3552</v>
      </c>
      <c r="E198" s="33">
        <v>45537.0</v>
      </c>
      <c r="F198" s="33">
        <v>45538.0</v>
      </c>
      <c r="G198" s="6" t="s">
        <v>3553</v>
      </c>
      <c r="H198" s="6" t="s">
        <v>3554</v>
      </c>
      <c r="I198" s="34">
        <v>0.85</v>
      </c>
      <c r="J198" s="35">
        <v>2024.0</v>
      </c>
    </row>
    <row r="199" ht="15.75" customHeight="1">
      <c r="A199" s="32" t="str">
        <f t="array" ref="A199">XLOOKUP(B199, city_to_region!$B$5:$B$96, city_to_region!$A$5:$A$96)</f>
        <v>Акмолинская</v>
      </c>
      <c r="B199" s="32" t="s">
        <v>3555</v>
      </c>
      <c r="C199" s="32" t="s">
        <v>3556</v>
      </c>
      <c r="D199" s="6" t="s">
        <v>3557</v>
      </c>
      <c r="E199" s="33">
        <v>45417.0</v>
      </c>
      <c r="F199" s="33">
        <v>45427.0</v>
      </c>
      <c r="G199" s="6" t="s">
        <v>3558</v>
      </c>
      <c r="H199" s="6" t="s">
        <v>3559</v>
      </c>
      <c r="I199" s="34">
        <v>0.73</v>
      </c>
      <c r="J199" s="35">
        <v>2024.0</v>
      </c>
    </row>
    <row r="200" ht="15.75" customHeight="1">
      <c r="A200" s="32" t="str">
        <f t="array" ref="A200">XLOOKUP(B200, city_to_region!$B$5:$B$96, city_to_region!$A$5:$A$96)</f>
        <v>Северо-Казахстанская</v>
      </c>
      <c r="B200" s="32" t="s">
        <v>2803</v>
      </c>
      <c r="C200" s="32" t="s">
        <v>3560</v>
      </c>
      <c r="D200" s="6" t="s">
        <v>3561</v>
      </c>
      <c r="E200" s="33">
        <v>45422.0</v>
      </c>
      <c r="F200" s="33">
        <v>45397.0</v>
      </c>
      <c r="G200" s="6" t="s">
        <v>3562</v>
      </c>
      <c r="H200" s="6" t="s">
        <v>3563</v>
      </c>
      <c r="I200" s="34">
        <v>0.67</v>
      </c>
      <c r="J200" s="35">
        <v>2024.0</v>
      </c>
    </row>
    <row r="201" ht="15.75" customHeight="1">
      <c r="A201" s="32" t="str">
        <f t="array" ref="A201">XLOOKUP(B201, city_to_region!$B$5:$B$96, city_to_region!$A$5:$A$96)</f>
        <v>Северо-Казахстанская</v>
      </c>
      <c r="B201" s="32" t="s">
        <v>2803</v>
      </c>
      <c r="C201" s="32" t="s">
        <v>3564</v>
      </c>
      <c r="D201" s="6" t="s">
        <v>3565</v>
      </c>
      <c r="E201" s="33">
        <v>45422.0</v>
      </c>
      <c r="F201" s="33">
        <v>45397.0</v>
      </c>
      <c r="G201" s="6" t="s">
        <v>3566</v>
      </c>
      <c r="H201" s="6" t="s">
        <v>3567</v>
      </c>
      <c r="I201" s="34">
        <v>0.82</v>
      </c>
      <c r="J201" s="35">
        <v>2024.0</v>
      </c>
    </row>
    <row r="202" ht="15.75" customHeight="1">
      <c r="A202" s="32" t="str">
        <f t="array" ref="A202">XLOOKUP(B202, city_to_region!$B$5:$B$96, city_to_region!$A$5:$A$96)</f>
        <v>Северо-Казахстанская</v>
      </c>
      <c r="B202" s="32" t="s">
        <v>3568</v>
      </c>
      <c r="C202" s="32" t="s">
        <v>3569</v>
      </c>
      <c r="D202" s="6" t="s">
        <v>3570</v>
      </c>
      <c r="E202" s="33">
        <v>45425.0</v>
      </c>
      <c r="F202" s="33">
        <v>45427.0</v>
      </c>
      <c r="G202" s="6" t="s">
        <v>3571</v>
      </c>
      <c r="H202" s="6" t="s">
        <v>3572</v>
      </c>
      <c r="I202" s="34">
        <v>0.76</v>
      </c>
      <c r="J202" s="35">
        <v>2024.0</v>
      </c>
    </row>
    <row r="203" ht="15.75" customHeight="1">
      <c r="A203" s="32" t="str">
        <f t="array" ref="A203">XLOOKUP(B203, city_to_region!$B$5:$B$96, city_to_region!$A$5:$A$96)</f>
        <v>Северо-Казахстанская</v>
      </c>
      <c r="B203" s="32" t="s">
        <v>3573</v>
      </c>
      <c r="C203" s="32" t="s">
        <v>3574</v>
      </c>
      <c r="D203" s="6" t="s">
        <v>3575</v>
      </c>
      <c r="E203" s="33">
        <v>45415.0</v>
      </c>
      <c r="F203" s="33">
        <v>45427.0</v>
      </c>
      <c r="G203" s="6" t="s">
        <v>3576</v>
      </c>
      <c r="H203" s="6" t="s">
        <v>3577</v>
      </c>
      <c r="I203" s="34">
        <v>0.38</v>
      </c>
      <c r="J203" s="35">
        <v>2024.0</v>
      </c>
    </row>
    <row r="204" ht="15.75" customHeight="1">
      <c r="A204" s="32" t="str">
        <f t="array" ref="A204">XLOOKUP(B204, city_to_region!$B$5:$B$96, city_to_region!$A$5:$A$96)</f>
        <v>г. Астана</v>
      </c>
      <c r="B204" s="32" t="s">
        <v>16</v>
      </c>
      <c r="C204" s="32" t="s">
        <v>3578</v>
      </c>
      <c r="D204" s="6" t="s">
        <v>3579</v>
      </c>
      <c r="E204" s="33">
        <v>45300.0</v>
      </c>
      <c r="F204" s="33">
        <v>45301.0</v>
      </c>
      <c r="G204" s="6" t="s">
        <v>3580</v>
      </c>
      <c r="H204" s="6" t="s">
        <v>3581</v>
      </c>
      <c r="I204" s="37">
        <v>0.146</v>
      </c>
      <c r="J204" s="35">
        <v>2024.0</v>
      </c>
    </row>
    <row r="205" ht="15.75" customHeight="1">
      <c r="A205" s="32" t="str">
        <f t="array" ref="A205">XLOOKUP(B205, city_to_region!$B$5:$B$96, city_to_region!$A$5:$A$96)</f>
        <v>г. Астана</v>
      </c>
      <c r="B205" s="32" t="s">
        <v>16</v>
      </c>
      <c r="C205" s="32" t="s">
        <v>3582</v>
      </c>
      <c r="D205" s="6" t="s">
        <v>3583</v>
      </c>
      <c r="E205" s="33">
        <v>45327.0</v>
      </c>
      <c r="F205" s="33">
        <v>45328.0</v>
      </c>
      <c r="G205" s="6" t="s">
        <v>3584</v>
      </c>
      <c r="H205" s="6" t="s">
        <v>3585</v>
      </c>
      <c r="I205" s="37">
        <v>0.006</v>
      </c>
      <c r="J205" s="35">
        <v>2024.0</v>
      </c>
    </row>
    <row r="206" ht="15.75" customHeight="1">
      <c r="A206" s="32" t="str">
        <f t="array" ref="A206">XLOOKUP(B206, city_to_region!$B$5:$B$96, city_to_region!$A$5:$A$96)</f>
        <v>г. Астана</v>
      </c>
      <c r="B206" s="32" t="s">
        <v>16</v>
      </c>
      <c r="C206" s="32" t="s">
        <v>3586</v>
      </c>
      <c r="D206" s="6" t="s">
        <v>3587</v>
      </c>
      <c r="E206" s="33">
        <v>45356.0</v>
      </c>
      <c r="F206" s="33">
        <v>45356.0</v>
      </c>
      <c r="G206" s="6" t="s">
        <v>3588</v>
      </c>
      <c r="H206" s="6" t="s">
        <v>3589</v>
      </c>
      <c r="I206" s="37">
        <v>0.012</v>
      </c>
      <c r="J206" s="35">
        <v>2024.0</v>
      </c>
    </row>
    <row r="207" ht="15.75" customHeight="1">
      <c r="A207" s="32" t="str">
        <f t="array" ref="A207">XLOOKUP(B207, city_to_region!$B$5:$B$96, city_to_region!$A$5:$A$96)</f>
        <v>г. Астана</v>
      </c>
      <c r="B207" s="32" t="s">
        <v>16</v>
      </c>
      <c r="C207" s="32" t="s">
        <v>3590</v>
      </c>
      <c r="D207" s="6" t="s">
        <v>3591</v>
      </c>
      <c r="E207" s="33">
        <v>45464.0</v>
      </c>
      <c r="F207" s="33">
        <v>45464.0</v>
      </c>
      <c r="G207" s="6" t="s">
        <v>3592</v>
      </c>
      <c r="H207" s="6" t="s">
        <v>3593</v>
      </c>
      <c r="I207" s="37">
        <v>0.419</v>
      </c>
      <c r="J207" s="35">
        <v>2024.0</v>
      </c>
    </row>
    <row r="208" ht="15.75" customHeight="1">
      <c r="A208" s="32" t="str">
        <f t="array" ref="A208">XLOOKUP(B208, city_to_region!$B$5:$B$96, city_to_region!$A$5:$A$96)</f>
        <v>г. Астана</v>
      </c>
      <c r="B208" s="32" t="s">
        <v>16</v>
      </c>
      <c r="C208" s="32" t="s">
        <v>3594</v>
      </c>
      <c r="D208" s="6" t="s">
        <v>3595</v>
      </c>
      <c r="E208" s="33">
        <v>45484.0</v>
      </c>
      <c r="F208" s="33">
        <v>45484.0</v>
      </c>
      <c r="G208" s="6" t="s">
        <v>3596</v>
      </c>
      <c r="H208" s="6" t="s">
        <v>3597</v>
      </c>
      <c r="I208" s="37">
        <v>0.173</v>
      </c>
      <c r="J208" s="35">
        <v>2024.0</v>
      </c>
    </row>
    <row r="209" ht="15.75" customHeight="1">
      <c r="A209" s="32" t="str">
        <f t="array" ref="A209">XLOOKUP(B209, city_to_region!$B$5:$B$96, city_to_region!$A$5:$A$96)</f>
        <v>г. Астана</v>
      </c>
      <c r="B209" s="32" t="s">
        <v>16</v>
      </c>
      <c r="C209" s="32" t="s">
        <v>3598</v>
      </c>
      <c r="D209" s="6" t="s">
        <v>3599</v>
      </c>
      <c r="E209" s="33">
        <v>45511.0</v>
      </c>
      <c r="F209" s="33">
        <v>45512.0</v>
      </c>
      <c r="G209" s="6" t="s">
        <v>3600</v>
      </c>
      <c r="H209" s="6" t="s">
        <v>3601</v>
      </c>
      <c r="I209" s="37">
        <v>0.051</v>
      </c>
      <c r="J209" s="35">
        <v>2024.0</v>
      </c>
    </row>
    <row r="210" ht="15.75" customHeight="1">
      <c r="A210" s="32" t="str">
        <f t="array" ref="A210">XLOOKUP(B210, city_to_region!$B$5:$B$96, city_to_region!$A$5:$A$96)</f>
        <v>г. Астана</v>
      </c>
      <c r="B210" s="32" t="s">
        <v>16</v>
      </c>
      <c r="C210" s="32" t="s">
        <v>3602</v>
      </c>
      <c r="D210" s="6" t="s">
        <v>3603</v>
      </c>
      <c r="E210" s="33">
        <v>45544.0</v>
      </c>
      <c r="F210" s="33">
        <v>45544.0</v>
      </c>
      <c r="G210" s="6" t="s">
        <v>3604</v>
      </c>
      <c r="H210" s="6" t="s">
        <v>3605</v>
      </c>
      <c r="I210" s="37">
        <v>0.049</v>
      </c>
      <c r="J210" s="35">
        <v>2024.0</v>
      </c>
    </row>
    <row r="211" ht="15.75" customHeight="1">
      <c r="A211" s="32" t="str">
        <f t="array" ref="A211">XLOOKUP(B211, city_to_region!$B$5:$B$96, city_to_region!$A$5:$A$96)</f>
        <v>г. Астана</v>
      </c>
      <c r="B211" s="32" t="s">
        <v>16</v>
      </c>
      <c r="C211" s="32" t="s">
        <v>3606</v>
      </c>
      <c r="D211" s="6" t="s">
        <v>3607</v>
      </c>
      <c r="E211" s="33">
        <v>45484.0</v>
      </c>
      <c r="F211" s="33">
        <v>45484.0</v>
      </c>
      <c r="G211" s="6" t="s">
        <v>3608</v>
      </c>
      <c r="H211" s="6" t="s">
        <v>3609</v>
      </c>
      <c r="I211" s="37">
        <v>0.115</v>
      </c>
      <c r="J211" s="35">
        <v>2024.0</v>
      </c>
    </row>
    <row r="212" ht="15.75" customHeight="1">
      <c r="A212" s="32" t="str">
        <f t="array" ref="A212">XLOOKUP(B212, city_to_region!$B$5:$B$96, city_to_region!$A$5:$A$96)</f>
        <v>г. Астана</v>
      </c>
      <c r="B212" s="32" t="s">
        <v>16</v>
      </c>
      <c r="C212" s="32" t="s">
        <v>3610</v>
      </c>
      <c r="D212" s="6" t="s">
        <v>3611</v>
      </c>
      <c r="E212" s="33">
        <v>45300.0</v>
      </c>
      <c r="F212" s="33">
        <v>45301.0</v>
      </c>
      <c r="G212" s="6" t="s">
        <v>3612</v>
      </c>
      <c r="H212" s="6" t="s">
        <v>3613</v>
      </c>
      <c r="I212" s="37">
        <v>0.202</v>
      </c>
      <c r="J212" s="35">
        <v>2024.0</v>
      </c>
    </row>
    <row r="213" ht="15.75" customHeight="1">
      <c r="A213" s="32" t="str">
        <f t="array" ref="A213">XLOOKUP(B213, city_to_region!$B$5:$B$96, city_to_region!$A$5:$A$96)</f>
        <v>г. Астана</v>
      </c>
      <c r="B213" s="32" t="s">
        <v>16</v>
      </c>
      <c r="C213" s="32" t="s">
        <v>3614</v>
      </c>
      <c r="D213" s="6" t="s">
        <v>3615</v>
      </c>
      <c r="E213" s="33">
        <v>45300.0</v>
      </c>
      <c r="F213" s="33">
        <v>45301.0</v>
      </c>
      <c r="G213" s="6" t="s">
        <v>3616</v>
      </c>
      <c r="H213" s="6" t="s">
        <v>3617</v>
      </c>
      <c r="I213" s="37">
        <v>0.2</v>
      </c>
      <c r="J213" s="35">
        <v>2024.0</v>
      </c>
    </row>
    <row r="214" ht="15.75" customHeight="1">
      <c r="A214" s="32" t="str">
        <f t="array" ref="A214">XLOOKUP(B214, city_to_region!$B$5:$B$96, city_to_region!$A$5:$A$96)</f>
        <v>г. Астана</v>
      </c>
      <c r="B214" s="32" t="s">
        <v>16</v>
      </c>
      <c r="C214" s="32" t="s">
        <v>3618</v>
      </c>
      <c r="D214" s="6" t="s">
        <v>3619</v>
      </c>
      <c r="E214" s="33">
        <v>45464.0</v>
      </c>
      <c r="F214" s="33">
        <v>45464.0</v>
      </c>
      <c r="G214" s="6" t="s">
        <v>3620</v>
      </c>
      <c r="H214" s="6" t="s">
        <v>3621</v>
      </c>
      <c r="I214" s="37">
        <v>0.695</v>
      </c>
      <c r="J214" s="35">
        <v>2024.0</v>
      </c>
    </row>
    <row r="215" ht="15.75" customHeight="1">
      <c r="A215" s="32" t="str">
        <f t="array" ref="A215">XLOOKUP(B215, city_to_region!$B$5:$B$96, city_to_region!$A$5:$A$96)</f>
        <v>г. Астана</v>
      </c>
      <c r="B215" s="32" t="s">
        <v>16</v>
      </c>
      <c r="C215" s="32" t="s">
        <v>3622</v>
      </c>
      <c r="D215" s="6" t="s">
        <v>3623</v>
      </c>
      <c r="E215" s="33">
        <v>45484.0</v>
      </c>
      <c r="F215" s="33">
        <v>45484.0</v>
      </c>
      <c r="G215" s="6" t="s">
        <v>3624</v>
      </c>
      <c r="H215" s="6" t="s">
        <v>3625</v>
      </c>
      <c r="I215" s="37">
        <v>0.787</v>
      </c>
      <c r="J215" s="35">
        <v>2024.0</v>
      </c>
    </row>
    <row r="216" ht="15.75" customHeight="1">
      <c r="A216" s="32" t="str">
        <f t="array" ref="A216">XLOOKUP(B216, city_to_region!$B$5:$B$96, city_to_region!$A$5:$A$96)</f>
        <v>г. Астана</v>
      </c>
      <c r="B216" s="32" t="s">
        <v>16</v>
      </c>
      <c r="C216" s="32" t="s">
        <v>3626</v>
      </c>
      <c r="D216" s="6" t="s">
        <v>3627</v>
      </c>
      <c r="E216" s="33">
        <v>45511.0</v>
      </c>
      <c r="F216" s="33">
        <v>45512.0</v>
      </c>
      <c r="G216" s="6" t="s">
        <v>3628</v>
      </c>
      <c r="H216" s="6" t="s">
        <v>3629</v>
      </c>
      <c r="I216" s="37">
        <v>0.639</v>
      </c>
      <c r="J216" s="35">
        <v>2024.0</v>
      </c>
    </row>
    <row r="217" ht="15.75" customHeight="1">
      <c r="A217" s="32" t="str">
        <f t="array" ref="A217">XLOOKUP(B217, city_to_region!$B$5:$B$96, city_to_region!$A$5:$A$96)</f>
        <v>г. Астана</v>
      </c>
      <c r="B217" s="32" t="s">
        <v>16</v>
      </c>
      <c r="C217" s="32" t="s">
        <v>3630</v>
      </c>
      <c r="D217" s="6" t="s">
        <v>3631</v>
      </c>
      <c r="E217" s="33">
        <v>45544.0</v>
      </c>
      <c r="F217" s="33">
        <v>45544.0</v>
      </c>
      <c r="G217" s="6" t="s">
        <v>3632</v>
      </c>
      <c r="H217" s="6" t="s">
        <v>3633</v>
      </c>
      <c r="I217" s="37">
        <v>0.049</v>
      </c>
      <c r="J217" s="35">
        <v>2024.0</v>
      </c>
    </row>
    <row r="218" ht="15.75" customHeight="1">
      <c r="A218" s="11"/>
      <c r="B218" s="11"/>
      <c r="C218" s="11"/>
      <c r="D218" s="30"/>
      <c r="E218" s="30"/>
      <c r="F218" s="30"/>
      <c r="G218" s="30"/>
      <c r="H218" s="30"/>
      <c r="I218" s="31"/>
    </row>
    <row r="219" ht="15.75" customHeight="1">
      <c r="A219" s="11"/>
      <c r="B219" s="11"/>
      <c r="C219" s="11"/>
      <c r="D219" s="30"/>
      <c r="E219" s="30"/>
      <c r="F219" s="30"/>
      <c r="G219" s="30"/>
      <c r="H219" s="30"/>
      <c r="I219" s="31"/>
    </row>
    <row r="220" ht="15.75" customHeight="1">
      <c r="A220" s="11"/>
      <c r="B220" s="11"/>
      <c r="C220" s="11"/>
      <c r="D220" s="30"/>
      <c r="E220" s="30"/>
      <c r="F220" s="30"/>
      <c r="G220" s="30"/>
      <c r="H220" s="30"/>
      <c r="I220" s="31"/>
    </row>
    <row r="221" ht="15.75" customHeight="1">
      <c r="A221" s="11"/>
      <c r="B221" s="11"/>
      <c r="C221" s="11"/>
      <c r="D221" s="30"/>
      <c r="E221" s="30"/>
      <c r="F221" s="30"/>
      <c r="G221" s="30"/>
      <c r="H221" s="30"/>
      <c r="I221" s="31"/>
    </row>
    <row r="222" ht="15.75" customHeight="1">
      <c r="A222" s="11"/>
      <c r="B222" s="11"/>
      <c r="C222" s="11"/>
      <c r="D222" s="30"/>
      <c r="E222" s="30"/>
      <c r="F222" s="30"/>
      <c r="G222" s="30"/>
      <c r="H222" s="30"/>
      <c r="I222" s="31"/>
    </row>
    <row r="223" ht="15.75" customHeight="1">
      <c r="A223" s="11"/>
      <c r="B223" s="11"/>
      <c r="C223" s="11"/>
      <c r="D223" s="30"/>
      <c r="E223" s="30"/>
      <c r="F223" s="30"/>
      <c r="G223" s="30"/>
      <c r="H223" s="30"/>
      <c r="I223" s="31"/>
    </row>
    <row r="224" ht="15.75" customHeight="1">
      <c r="A224" s="11"/>
      <c r="B224" s="11"/>
      <c r="C224" s="11"/>
      <c r="D224" s="30"/>
      <c r="E224" s="30"/>
      <c r="F224" s="30"/>
      <c r="G224" s="30"/>
      <c r="H224" s="30"/>
      <c r="I224" s="31"/>
    </row>
    <row r="225" ht="15.75" customHeight="1">
      <c r="A225" s="11"/>
      <c r="B225" s="11"/>
      <c r="C225" s="11"/>
      <c r="D225" s="30"/>
      <c r="E225" s="30"/>
      <c r="F225" s="30"/>
      <c r="G225" s="30"/>
      <c r="H225" s="30"/>
      <c r="I225" s="31"/>
    </row>
    <row r="226" ht="15.75" customHeight="1">
      <c r="A226" s="11"/>
      <c r="B226" s="11"/>
      <c r="C226" s="11"/>
      <c r="D226" s="30"/>
      <c r="E226" s="30"/>
      <c r="F226" s="30"/>
      <c r="G226" s="30"/>
      <c r="H226" s="30"/>
      <c r="I226" s="31"/>
    </row>
    <row r="227" ht="15.75" customHeight="1">
      <c r="A227" s="11"/>
      <c r="B227" s="11"/>
      <c r="C227" s="11"/>
      <c r="D227" s="30"/>
      <c r="E227" s="30"/>
      <c r="F227" s="30"/>
      <c r="G227" s="30"/>
      <c r="H227" s="30"/>
      <c r="I227" s="31"/>
    </row>
    <row r="228" ht="15.75" customHeight="1">
      <c r="A228" s="11"/>
      <c r="B228" s="11"/>
      <c r="C228" s="11"/>
      <c r="D228" s="30"/>
      <c r="E228" s="30"/>
      <c r="F228" s="30"/>
      <c r="G228" s="30"/>
      <c r="H228" s="30"/>
      <c r="I228" s="31"/>
    </row>
    <row r="229" ht="15.75" customHeight="1">
      <c r="A229" s="11"/>
      <c r="B229" s="11"/>
      <c r="C229" s="11"/>
      <c r="D229" s="30"/>
      <c r="E229" s="30"/>
      <c r="F229" s="30"/>
      <c r="G229" s="30"/>
      <c r="H229" s="30"/>
      <c r="I229" s="31"/>
    </row>
    <row r="230" ht="15.75" customHeight="1">
      <c r="A230" s="11"/>
      <c r="B230" s="11"/>
      <c r="C230" s="11"/>
      <c r="D230" s="30"/>
      <c r="E230" s="30"/>
      <c r="F230" s="30"/>
      <c r="G230" s="30"/>
      <c r="H230" s="30"/>
      <c r="I230" s="31"/>
    </row>
    <row r="231" ht="15.75" customHeight="1">
      <c r="A231" s="11"/>
      <c r="B231" s="11"/>
      <c r="C231" s="11"/>
      <c r="D231" s="30"/>
      <c r="E231" s="30"/>
      <c r="F231" s="30"/>
      <c r="G231" s="30"/>
      <c r="H231" s="30"/>
      <c r="I231" s="31"/>
    </row>
    <row r="232" ht="15.75" customHeight="1">
      <c r="A232" s="11"/>
      <c r="B232" s="11"/>
      <c r="C232" s="11"/>
      <c r="D232" s="30"/>
      <c r="E232" s="30"/>
      <c r="F232" s="30"/>
      <c r="G232" s="30"/>
      <c r="H232" s="30"/>
      <c r="I232" s="31"/>
    </row>
    <row r="233" ht="15.75" customHeight="1">
      <c r="A233" s="11"/>
      <c r="B233" s="11"/>
      <c r="C233" s="11"/>
      <c r="D233" s="30"/>
      <c r="E233" s="30"/>
      <c r="F233" s="30"/>
      <c r="G233" s="30"/>
      <c r="H233" s="30"/>
      <c r="I233" s="31"/>
    </row>
    <row r="234" ht="15.75" customHeight="1">
      <c r="A234" s="11"/>
      <c r="B234" s="11"/>
      <c r="C234" s="11"/>
      <c r="D234" s="30"/>
      <c r="E234" s="30"/>
      <c r="F234" s="30"/>
      <c r="G234" s="30"/>
      <c r="H234" s="30"/>
      <c r="I234" s="31"/>
    </row>
    <row r="235" ht="15.75" customHeight="1">
      <c r="A235" s="11"/>
      <c r="B235" s="11"/>
      <c r="C235" s="11"/>
      <c r="D235" s="30"/>
      <c r="E235" s="30"/>
      <c r="F235" s="30"/>
      <c r="G235" s="30"/>
      <c r="H235" s="30"/>
      <c r="I235" s="31"/>
    </row>
    <row r="236" ht="15.75" customHeight="1">
      <c r="A236" s="11"/>
      <c r="B236" s="11"/>
      <c r="C236" s="11"/>
      <c r="D236" s="30"/>
      <c r="E236" s="30"/>
      <c r="F236" s="30"/>
      <c r="G236" s="30"/>
      <c r="H236" s="30"/>
      <c r="I236" s="31"/>
    </row>
    <row r="237" ht="15.75" customHeight="1">
      <c r="A237" s="11"/>
      <c r="B237" s="11"/>
      <c r="C237" s="11"/>
      <c r="D237" s="30"/>
      <c r="E237" s="30"/>
      <c r="F237" s="30"/>
      <c r="G237" s="30"/>
      <c r="H237" s="30"/>
      <c r="I237" s="31"/>
    </row>
    <row r="238" ht="15.75" customHeight="1">
      <c r="A238" s="11"/>
      <c r="B238" s="11"/>
      <c r="C238" s="11"/>
      <c r="D238" s="30"/>
      <c r="E238" s="30"/>
      <c r="F238" s="30"/>
      <c r="G238" s="30"/>
      <c r="H238" s="30"/>
      <c r="I238" s="31"/>
    </row>
    <row r="239" ht="15.75" customHeight="1">
      <c r="A239" s="11"/>
      <c r="B239" s="11"/>
      <c r="C239" s="11"/>
      <c r="D239" s="30"/>
      <c r="E239" s="30"/>
      <c r="F239" s="30"/>
      <c r="G239" s="30"/>
      <c r="H239" s="30"/>
      <c r="I239" s="31"/>
    </row>
    <row r="240" ht="15.75" customHeight="1">
      <c r="A240" s="11"/>
      <c r="B240" s="11"/>
      <c r="C240" s="11"/>
      <c r="D240" s="30"/>
      <c r="E240" s="30"/>
      <c r="F240" s="30"/>
      <c r="G240" s="30"/>
      <c r="H240" s="30"/>
      <c r="I240" s="31"/>
    </row>
    <row r="241" ht="15.75" customHeight="1">
      <c r="A241" s="11"/>
      <c r="B241" s="11"/>
      <c r="C241" s="11"/>
      <c r="D241" s="30"/>
      <c r="E241" s="30"/>
      <c r="F241" s="30"/>
      <c r="G241" s="30"/>
      <c r="H241" s="30"/>
      <c r="I241" s="31"/>
    </row>
    <row r="242" ht="15.75" customHeight="1">
      <c r="A242" s="11"/>
      <c r="B242" s="11"/>
      <c r="C242" s="11"/>
      <c r="D242" s="30"/>
      <c r="E242" s="30"/>
      <c r="F242" s="30"/>
      <c r="G242" s="30"/>
      <c r="H242" s="30"/>
      <c r="I242" s="31"/>
    </row>
    <row r="243" ht="15.75" customHeight="1">
      <c r="A243" s="11"/>
      <c r="B243" s="11"/>
      <c r="C243" s="11"/>
      <c r="D243" s="30"/>
      <c r="E243" s="30"/>
      <c r="F243" s="30"/>
      <c r="G243" s="30"/>
      <c r="H243" s="30"/>
      <c r="I243" s="31"/>
    </row>
    <row r="244" ht="15.75" customHeight="1">
      <c r="A244" s="11"/>
      <c r="B244" s="11"/>
      <c r="C244" s="11"/>
      <c r="D244" s="30"/>
      <c r="E244" s="30"/>
      <c r="F244" s="30"/>
      <c r="G244" s="30"/>
      <c r="H244" s="30"/>
      <c r="I244" s="31"/>
    </row>
    <row r="245" ht="15.75" customHeight="1">
      <c r="A245" s="11"/>
      <c r="B245" s="11"/>
      <c r="C245" s="11"/>
      <c r="D245" s="30"/>
      <c r="E245" s="30"/>
      <c r="F245" s="30"/>
      <c r="G245" s="30"/>
      <c r="H245" s="30"/>
      <c r="I245" s="31"/>
    </row>
    <row r="246" ht="15.75" customHeight="1">
      <c r="A246" s="11"/>
      <c r="B246" s="11"/>
      <c r="C246" s="11"/>
      <c r="D246" s="30"/>
      <c r="E246" s="30"/>
      <c r="F246" s="30"/>
      <c r="G246" s="30"/>
      <c r="H246" s="30"/>
      <c r="I246" s="31"/>
    </row>
    <row r="247" ht="15.75" customHeight="1">
      <c r="A247" s="11"/>
      <c r="B247" s="11"/>
      <c r="C247" s="11"/>
      <c r="D247" s="30"/>
      <c r="E247" s="30"/>
      <c r="F247" s="30"/>
      <c r="G247" s="30"/>
      <c r="H247" s="30"/>
      <c r="I247" s="31"/>
    </row>
    <row r="248" ht="15.75" customHeight="1">
      <c r="A248" s="11"/>
      <c r="B248" s="11"/>
      <c r="C248" s="11"/>
      <c r="D248" s="30"/>
      <c r="E248" s="30"/>
      <c r="F248" s="30"/>
      <c r="G248" s="30"/>
      <c r="H248" s="30"/>
      <c r="I248" s="31"/>
    </row>
    <row r="249" ht="15.75" customHeight="1">
      <c r="A249" s="11"/>
      <c r="B249" s="11"/>
      <c r="C249" s="11"/>
      <c r="D249" s="30"/>
      <c r="E249" s="30"/>
      <c r="F249" s="30"/>
      <c r="G249" s="30"/>
      <c r="H249" s="30"/>
      <c r="I249" s="31"/>
    </row>
    <row r="250" ht="15.75" customHeight="1">
      <c r="A250" s="11"/>
      <c r="B250" s="11"/>
      <c r="C250" s="11"/>
      <c r="D250" s="30"/>
      <c r="E250" s="30"/>
      <c r="F250" s="30"/>
      <c r="G250" s="30"/>
      <c r="H250" s="30"/>
      <c r="I250" s="31"/>
    </row>
    <row r="251" ht="15.75" customHeight="1">
      <c r="A251" s="11"/>
      <c r="B251" s="11"/>
      <c r="C251" s="11"/>
      <c r="D251" s="30"/>
      <c r="E251" s="30"/>
      <c r="F251" s="30"/>
      <c r="G251" s="30"/>
      <c r="H251" s="30"/>
      <c r="I251" s="31"/>
    </row>
    <row r="252" ht="15.75" customHeight="1">
      <c r="A252" s="11"/>
      <c r="B252" s="11"/>
      <c r="C252" s="11"/>
      <c r="D252" s="30"/>
      <c r="E252" s="30"/>
      <c r="F252" s="30"/>
      <c r="G252" s="30"/>
      <c r="H252" s="30"/>
      <c r="I252" s="31"/>
    </row>
    <row r="253" ht="15.75" customHeight="1">
      <c r="A253" s="11"/>
      <c r="B253" s="11"/>
      <c r="C253" s="11"/>
      <c r="D253" s="30"/>
      <c r="E253" s="30"/>
      <c r="F253" s="30"/>
      <c r="G253" s="30"/>
      <c r="H253" s="30"/>
      <c r="I253" s="31"/>
    </row>
    <row r="254" ht="15.75" customHeight="1">
      <c r="A254" s="11"/>
      <c r="B254" s="11"/>
      <c r="C254" s="11"/>
      <c r="D254" s="30"/>
      <c r="E254" s="30"/>
      <c r="F254" s="30"/>
      <c r="G254" s="30"/>
      <c r="H254" s="30"/>
      <c r="I254" s="31"/>
    </row>
    <row r="255" ht="15.75" customHeight="1">
      <c r="A255" s="11"/>
      <c r="B255" s="11"/>
      <c r="C255" s="11"/>
      <c r="D255" s="30"/>
      <c r="E255" s="30"/>
      <c r="F255" s="30"/>
      <c r="G255" s="30"/>
      <c r="H255" s="30"/>
      <c r="I255" s="31"/>
    </row>
    <row r="256" ht="15.75" customHeight="1">
      <c r="A256" s="11"/>
      <c r="B256" s="11"/>
      <c r="C256" s="11"/>
      <c r="D256" s="30"/>
      <c r="E256" s="30"/>
      <c r="F256" s="30"/>
      <c r="G256" s="30"/>
      <c r="H256" s="30"/>
      <c r="I256" s="31"/>
    </row>
    <row r="257" ht="15.75" customHeight="1">
      <c r="A257" s="11"/>
      <c r="B257" s="11"/>
      <c r="C257" s="11"/>
      <c r="D257" s="30"/>
      <c r="E257" s="30"/>
      <c r="F257" s="30"/>
      <c r="G257" s="30"/>
      <c r="H257" s="30"/>
      <c r="I257" s="31"/>
    </row>
    <row r="258" ht="15.75" customHeight="1">
      <c r="A258" s="11"/>
      <c r="B258" s="11"/>
      <c r="C258" s="11"/>
      <c r="D258" s="30"/>
      <c r="E258" s="30"/>
      <c r="F258" s="30"/>
      <c r="G258" s="30"/>
      <c r="H258" s="30"/>
      <c r="I258" s="31"/>
    </row>
    <row r="259" ht="15.75" customHeight="1">
      <c r="A259" s="11"/>
      <c r="B259" s="11"/>
      <c r="C259" s="11"/>
      <c r="D259" s="30"/>
      <c r="E259" s="30"/>
      <c r="F259" s="30"/>
      <c r="G259" s="30"/>
      <c r="H259" s="30"/>
      <c r="I259" s="31"/>
    </row>
    <row r="260" ht="15.75" customHeight="1">
      <c r="A260" s="11"/>
      <c r="B260" s="11"/>
      <c r="C260" s="11"/>
      <c r="D260" s="30"/>
      <c r="E260" s="30"/>
      <c r="F260" s="30"/>
      <c r="G260" s="30"/>
      <c r="H260" s="30"/>
      <c r="I260" s="31"/>
    </row>
    <row r="261" ht="15.75" customHeight="1">
      <c r="A261" s="11"/>
      <c r="B261" s="11"/>
      <c r="C261" s="11"/>
      <c r="D261" s="30"/>
      <c r="E261" s="30"/>
      <c r="F261" s="30"/>
      <c r="G261" s="30"/>
      <c r="H261" s="30"/>
      <c r="I261" s="31"/>
    </row>
    <row r="262" ht="15.75" customHeight="1">
      <c r="A262" s="11"/>
      <c r="B262" s="11"/>
      <c r="C262" s="11"/>
      <c r="D262" s="30"/>
      <c r="E262" s="30"/>
      <c r="F262" s="30"/>
      <c r="G262" s="30"/>
      <c r="H262" s="30"/>
      <c r="I262" s="31"/>
    </row>
    <row r="263" ht="15.75" customHeight="1">
      <c r="A263" s="11"/>
      <c r="B263" s="11"/>
      <c r="C263" s="11"/>
      <c r="D263" s="30"/>
      <c r="E263" s="30"/>
      <c r="F263" s="30"/>
      <c r="G263" s="30"/>
      <c r="H263" s="30"/>
      <c r="I263" s="31"/>
    </row>
    <row r="264" ht="15.75" customHeight="1">
      <c r="A264" s="11"/>
      <c r="B264" s="11"/>
      <c r="C264" s="11"/>
      <c r="D264" s="30"/>
      <c r="E264" s="30"/>
      <c r="F264" s="30"/>
      <c r="G264" s="30"/>
      <c r="H264" s="30"/>
      <c r="I264" s="31"/>
    </row>
    <row r="265" ht="15.75" customHeight="1">
      <c r="A265" s="11"/>
      <c r="B265" s="11"/>
      <c r="C265" s="11"/>
      <c r="D265" s="30"/>
      <c r="E265" s="30"/>
      <c r="F265" s="30"/>
      <c r="G265" s="30"/>
      <c r="H265" s="30"/>
      <c r="I265" s="31"/>
    </row>
    <row r="266" ht="15.75" customHeight="1">
      <c r="A266" s="11"/>
      <c r="B266" s="11"/>
      <c r="C266" s="11"/>
      <c r="D266" s="30"/>
      <c r="E266" s="30"/>
      <c r="F266" s="30"/>
      <c r="G266" s="30"/>
      <c r="H266" s="30"/>
      <c r="I266" s="31"/>
    </row>
    <row r="267" ht="15.75" customHeight="1">
      <c r="A267" s="11"/>
      <c r="B267" s="11"/>
      <c r="C267" s="11"/>
      <c r="D267" s="30"/>
      <c r="E267" s="30"/>
      <c r="F267" s="30"/>
      <c r="G267" s="30"/>
      <c r="H267" s="30"/>
      <c r="I267" s="31"/>
    </row>
    <row r="268" ht="15.75" customHeight="1">
      <c r="A268" s="11"/>
      <c r="B268" s="11"/>
      <c r="C268" s="11"/>
      <c r="D268" s="30"/>
      <c r="E268" s="30"/>
      <c r="F268" s="30"/>
      <c r="G268" s="30"/>
      <c r="H268" s="30"/>
      <c r="I268" s="31"/>
    </row>
    <row r="269" ht="15.75" customHeight="1">
      <c r="A269" s="11"/>
      <c r="B269" s="11"/>
      <c r="C269" s="11"/>
      <c r="D269" s="30"/>
      <c r="E269" s="30"/>
      <c r="F269" s="30"/>
      <c r="G269" s="30"/>
      <c r="H269" s="30"/>
      <c r="I269" s="31"/>
    </row>
    <row r="270" ht="15.75" customHeight="1">
      <c r="A270" s="11"/>
      <c r="B270" s="11"/>
      <c r="C270" s="11"/>
      <c r="D270" s="30"/>
      <c r="E270" s="30"/>
      <c r="F270" s="30"/>
      <c r="G270" s="30"/>
      <c r="H270" s="30"/>
      <c r="I270" s="31"/>
    </row>
    <row r="271" ht="15.75" customHeight="1">
      <c r="A271" s="11"/>
      <c r="B271" s="11"/>
      <c r="C271" s="11"/>
      <c r="D271" s="30"/>
      <c r="E271" s="30"/>
      <c r="F271" s="30"/>
      <c r="G271" s="30"/>
      <c r="H271" s="30"/>
      <c r="I271" s="31"/>
    </row>
    <row r="272" ht="15.75" customHeight="1">
      <c r="A272" s="11"/>
      <c r="B272" s="11"/>
      <c r="C272" s="11"/>
      <c r="D272" s="30"/>
      <c r="E272" s="30"/>
      <c r="F272" s="30"/>
      <c r="G272" s="30"/>
      <c r="H272" s="30"/>
      <c r="I272" s="31"/>
    </row>
    <row r="273" ht="15.75" customHeight="1">
      <c r="A273" s="11"/>
      <c r="B273" s="11"/>
      <c r="C273" s="11"/>
      <c r="D273" s="30"/>
      <c r="E273" s="30"/>
      <c r="F273" s="30"/>
      <c r="G273" s="30"/>
      <c r="H273" s="30"/>
      <c r="I273" s="31"/>
    </row>
    <row r="274" ht="15.75" customHeight="1">
      <c r="A274" s="11"/>
      <c r="B274" s="11"/>
      <c r="C274" s="11"/>
      <c r="D274" s="30"/>
      <c r="E274" s="30"/>
      <c r="F274" s="30"/>
      <c r="G274" s="30"/>
      <c r="H274" s="30"/>
      <c r="I274" s="31"/>
    </row>
    <row r="275" ht="15.75" customHeight="1">
      <c r="A275" s="11"/>
      <c r="B275" s="11"/>
      <c r="C275" s="11"/>
      <c r="D275" s="30"/>
      <c r="E275" s="30"/>
      <c r="F275" s="30"/>
      <c r="G275" s="30"/>
      <c r="H275" s="30"/>
      <c r="I275" s="31"/>
    </row>
    <row r="276" ht="15.75" customHeight="1">
      <c r="A276" s="11"/>
      <c r="B276" s="11"/>
      <c r="C276" s="11"/>
      <c r="D276" s="30"/>
      <c r="E276" s="30"/>
      <c r="F276" s="30"/>
      <c r="G276" s="30"/>
      <c r="H276" s="30"/>
      <c r="I276" s="31"/>
    </row>
    <row r="277" ht="15.75" customHeight="1">
      <c r="A277" s="11"/>
      <c r="B277" s="11"/>
      <c r="C277" s="11"/>
      <c r="D277" s="30"/>
      <c r="E277" s="30"/>
      <c r="F277" s="30"/>
      <c r="G277" s="30"/>
      <c r="H277" s="30"/>
      <c r="I277" s="31"/>
    </row>
    <row r="278" ht="15.75" customHeight="1">
      <c r="A278" s="11"/>
      <c r="B278" s="11"/>
      <c r="C278" s="11"/>
      <c r="D278" s="30"/>
      <c r="E278" s="30"/>
      <c r="F278" s="30"/>
      <c r="G278" s="30"/>
      <c r="H278" s="30"/>
      <c r="I278" s="31"/>
    </row>
    <row r="279" ht="15.75" customHeight="1">
      <c r="A279" s="11"/>
      <c r="B279" s="11"/>
      <c r="C279" s="11"/>
      <c r="D279" s="30"/>
      <c r="E279" s="30"/>
      <c r="F279" s="30"/>
      <c r="G279" s="30"/>
      <c r="H279" s="30"/>
      <c r="I279" s="31"/>
    </row>
    <row r="280" ht="15.75" customHeight="1">
      <c r="A280" s="11"/>
      <c r="B280" s="11"/>
      <c r="C280" s="11"/>
      <c r="D280" s="30"/>
      <c r="E280" s="30"/>
      <c r="F280" s="30"/>
      <c r="G280" s="30"/>
      <c r="H280" s="30"/>
      <c r="I280" s="31"/>
    </row>
    <row r="281" ht="15.75" customHeight="1">
      <c r="A281" s="11"/>
      <c r="B281" s="11"/>
      <c r="C281" s="11"/>
      <c r="D281" s="30"/>
      <c r="E281" s="30"/>
      <c r="F281" s="30"/>
      <c r="G281" s="30"/>
      <c r="H281" s="30"/>
      <c r="I281" s="31"/>
    </row>
    <row r="282" ht="15.75" customHeight="1">
      <c r="A282" s="11"/>
      <c r="B282" s="11"/>
      <c r="C282" s="11"/>
      <c r="D282" s="30"/>
      <c r="E282" s="30"/>
      <c r="F282" s="30"/>
      <c r="G282" s="30"/>
      <c r="H282" s="30"/>
      <c r="I282" s="31"/>
    </row>
    <row r="283" ht="15.75" customHeight="1">
      <c r="A283" s="11"/>
      <c r="B283" s="11"/>
      <c r="C283" s="11"/>
      <c r="D283" s="30"/>
      <c r="E283" s="30"/>
      <c r="F283" s="30"/>
      <c r="G283" s="30"/>
      <c r="H283" s="30"/>
      <c r="I283" s="31"/>
    </row>
    <row r="284" ht="15.75" customHeight="1">
      <c r="A284" s="11"/>
      <c r="B284" s="11"/>
      <c r="C284" s="11"/>
      <c r="D284" s="30"/>
      <c r="E284" s="30"/>
      <c r="F284" s="30"/>
      <c r="G284" s="30"/>
      <c r="H284" s="30"/>
      <c r="I284" s="31"/>
    </row>
    <row r="285" ht="15.75" customHeight="1">
      <c r="A285" s="11"/>
      <c r="B285" s="11"/>
      <c r="C285" s="11"/>
      <c r="D285" s="30"/>
      <c r="E285" s="30"/>
      <c r="F285" s="30"/>
      <c r="G285" s="30"/>
      <c r="H285" s="30"/>
      <c r="I285" s="31"/>
    </row>
    <row r="286" ht="15.75" customHeight="1">
      <c r="A286" s="11"/>
      <c r="B286" s="11"/>
      <c r="C286" s="11"/>
      <c r="D286" s="30"/>
      <c r="E286" s="30"/>
      <c r="F286" s="30"/>
      <c r="G286" s="30"/>
      <c r="H286" s="30"/>
      <c r="I286" s="31"/>
    </row>
    <row r="287" ht="15.75" customHeight="1">
      <c r="A287" s="11"/>
      <c r="B287" s="11"/>
      <c r="C287" s="11"/>
      <c r="D287" s="30"/>
      <c r="E287" s="30"/>
      <c r="F287" s="30"/>
      <c r="G287" s="30"/>
      <c r="H287" s="30"/>
      <c r="I287" s="31"/>
    </row>
    <row r="288" ht="15.75" customHeight="1">
      <c r="A288" s="11"/>
      <c r="B288" s="11"/>
      <c r="C288" s="11"/>
      <c r="D288" s="30"/>
      <c r="E288" s="30"/>
      <c r="F288" s="30"/>
      <c r="G288" s="30"/>
      <c r="H288" s="30"/>
      <c r="I288" s="31"/>
    </row>
    <row r="289" ht="15.75" customHeight="1">
      <c r="A289" s="11"/>
      <c r="B289" s="11"/>
      <c r="C289" s="11"/>
      <c r="D289" s="30"/>
      <c r="E289" s="30"/>
      <c r="F289" s="30"/>
      <c r="G289" s="30"/>
      <c r="H289" s="30"/>
      <c r="I289" s="31"/>
    </row>
    <row r="290" ht="15.75" customHeight="1">
      <c r="A290" s="11"/>
      <c r="B290" s="11"/>
      <c r="C290" s="11"/>
      <c r="D290" s="30"/>
      <c r="E290" s="30"/>
      <c r="F290" s="30"/>
      <c r="G290" s="30"/>
      <c r="H290" s="30"/>
      <c r="I290" s="31"/>
    </row>
    <row r="291" ht="15.75" customHeight="1">
      <c r="A291" s="11"/>
      <c r="B291" s="11"/>
      <c r="C291" s="11"/>
      <c r="D291" s="30"/>
      <c r="E291" s="30"/>
      <c r="F291" s="30"/>
      <c r="G291" s="30"/>
      <c r="H291" s="30"/>
      <c r="I291" s="31"/>
    </row>
    <row r="292" ht="15.75" customHeight="1">
      <c r="A292" s="11"/>
      <c r="B292" s="11"/>
      <c r="C292" s="11"/>
      <c r="D292" s="30"/>
      <c r="E292" s="30"/>
      <c r="F292" s="30"/>
      <c r="G292" s="30"/>
      <c r="H292" s="30"/>
      <c r="I292" s="31"/>
    </row>
    <row r="293" ht="15.75" customHeight="1">
      <c r="A293" s="11"/>
      <c r="B293" s="11"/>
      <c r="C293" s="11"/>
      <c r="D293" s="30"/>
      <c r="E293" s="30"/>
      <c r="F293" s="30"/>
      <c r="G293" s="30"/>
      <c r="H293" s="30"/>
      <c r="I293" s="31"/>
    </row>
    <row r="294" ht="15.75" customHeight="1">
      <c r="A294" s="11"/>
      <c r="B294" s="11"/>
      <c r="C294" s="11"/>
      <c r="D294" s="30"/>
      <c r="E294" s="30"/>
      <c r="F294" s="30"/>
      <c r="G294" s="30"/>
      <c r="H294" s="30"/>
      <c r="I294" s="31"/>
    </row>
    <row r="295" ht="15.75" customHeight="1">
      <c r="A295" s="11"/>
      <c r="B295" s="11"/>
      <c r="C295" s="11"/>
      <c r="D295" s="30"/>
      <c r="E295" s="30"/>
      <c r="F295" s="30"/>
      <c r="G295" s="30"/>
      <c r="H295" s="30"/>
      <c r="I295" s="31"/>
    </row>
    <row r="296" ht="15.75" customHeight="1">
      <c r="A296" s="11"/>
      <c r="B296" s="11"/>
      <c r="C296" s="11"/>
      <c r="D296" s="30"/>
      <c r="E296" s="30"/>
      <c r="F296" s="30"/>
      <c r="G296" s="30"/>
      <c r="H296" s="30"/>
      <c r="I296" s="31"/>
    </row>
    <row r="297" ht="15.75" customHeight="1">
      <c r="A297" s="11"/>
      <c r="B297" s="11"/>
      <c r="C297" s="11"/>
      <c r="D297" s="30"/>
      <c r="E297" s="30"/>
      <c r="F297" s="30"/>
      <c r="G297" s="30"/>
      <c r="H297" s="30"/>
      <c r="I297" s="31"/>
    </row>
    <row r="298" ht="15.75" customHeight="1">
      <c r="A298" s="11"/>
      <c r="B298" s="11"/>
      <c r="C298" s="11"/>
      <c r="D298" s="30"/>
      <c r="E298" s="30"/>
      <c r="F298" s="30"/>
      <c r="G298" s="30"/>
      <c r="H298" s="30"/>
      <c r="I298" s="31"/>
    </row>
    <row r="299" ht="15.75" customHeight="1">
      <c r="A299" s="11"/>
      <c r="B299" s="11"/>
      <c r="C299" s="11"/>
      <c r="D299" s="30"/>
      <c r="E299" s="30"/>
      <c r="F299" s="30"/>
      <c r="G299" s="30"/>
      <c r="H299" s="30"/>
      <c r="I299" s="31"/>
    </row>
    <row r="300" ht="15.75" customHeight="1">
      <c r="A300" s="11"/>
      <c r="B300" s="11"/>
      <c r="C300" s="11"/>
      <c r="D300" s="30"/>
      <c r="E300" s="30"/>
      <c r="F300" s="30"/>
      <c r="G300" s="30"/>
      <c r="H300" s="30"/>
      <c r="I300" s="31"/>
    </row>
    <row r="301" ht="15.75" customHeight="1">
      <c r="A301" s="11"/>
      <c r="B301" s="11"/>
      <c r="C301" s="11"/>
      <c r="D301" s="30"/>
      <c r="E301" s="30"/>
      <c r="F301" s="30"/>
      <c r="G301" s="30"/>
      <c r="H301" s="30"/>
      <c r="I301" s="31"/>
    </row>
    <row r="302" ht="15.75" customHeight="1">
      <c r="A302" s="11"/>
      <c r="B302" s="11"/>
      <c r="C302" s="11"/>
      <c r="D302" s="30"/>
      <c r="E302" s="30"/>
      <c r="F302" s="30"/>
      <c r="G302" s="30"/>
      <c r="H302" s="30"/>
      <c r="I302" s="31"/>
    </row>
    <row r="303" ht="15.75" customHeight="1">
      <c r="A303" s="11"/>
      <c r="B303" s="11"/>
      <c r="C303" s="11"/>
      <c r="D303" s="30"/>
      <c r="E303" s="30"/>
      <c r="F303" s="30"/>
      <c r="G303" s="30"/>
      <c r="H303" s="30"/>
      <c r="I303" s="31"/>
    </row>
    <row r="304" ht="15.75" customHeight="1">
      <c r="A304" s="11"/>
      <c r="B304" s="11"/>
      <c r="C304" s="11"/>
      <c r="D304" s="30"/>
      <c r="E304" s="30"/>
      <c r="F304" s="30"/>
      <c r="G304" s="30"/>
      <c r="H304" s="30"/>
      <c r="I304" s="31"/>
    </row>
    <row r="305" ht="15.75" customHeight="1">
      <c r="A305" s="11"/>
      <c r="B305" s="11"/>
      <c r="C305" s="11"/>
      <c r="D305" s="30"/>
      <c r="E305" s="30"/>
      <c r="F305" s="30"/>
      <c r="G305" s="30"/>
      <c r="H305" s="30"/>
      <c r="I305" s="31"/>
    </row>
    <row r="306" ht="15.75" customHeight="1">
      <c r="A306" s="11"/>
      <c r="B306" s="11"/>
      <c r="C306" s="11"/>
      <c r="D306" s="30"/>
      <c r="E306" s="30"/>
      <c r="F306" s="30"/>
      <c r="G306" s="30"/>
      <c r="H306" s="30"/>
      <c r="I306" s="31"/>
    </row>
    <row r="307" ht="15.75" customHeight="1">
      <c r="A307" s="11"/>
      <c r="B307" s="11"/>
      <c r="C307" s="11"/>
      <c r="D307" s="30"/>
      <c r="E307" s="30"/>
      <c r="F307" s="30"/>
      <c r="G307" s="30"/>
      <c r="H307" s="30"/>
      <c r="I307" s="31"/>
    </row>
    <row r="308" ht="15.75" customHeight="1">
      <c r="A308" s="11"/>
      <c r="B308" s="11"/>
      <c r="C308" s="11"/>
      <c r="D308" s="30"/>
      <c r="E308" s="30"/>
      <c r="F308" s="30"/>
      <c r="G308" s="30"/>
      <c r="H308" s="30"/>
      <c r="I308" s="31"/>
    </row>
    <row r="309" ht="15.75" customHeight="1">
      <c r="A309" s="11"/>
      <c r="B309" s="11"/>
      <c r="C309" s="11"/>
      <c r="D309" s="30"/>
      <c r="E309" s="30"/>
      <c r="F309" s="30"/>
      <c r="G309" s="30"/>
      <c r="H309" s="30"/>
      <c r="I309" s="31"/>
    </row>
    <row r="310" ht="15.75" customHeight="1">
      <c r="A310" s="11"/>
      <c r="B310" s="11"/>
      <c r="C310" s="11"/>
      <c r="D310" s="30"/>
      <c r="E310" s="30"/>
      <c r="F310" s="30"/>
      <c r="G310" s="30"/>
      <c r="H310" s="30"/>
      <c r="I310" s="31"/>
    </row>
    <row r="311" ht="15.75" customHeight="1">
      <c r="A311" s="11"/>
      <c r="B311" s="11"/>
      <c r="C311" s="11"/>
      <c r="D311" s="30"/>
      <c r="E311" s="30"/>
      <c r="F311" s="30"/>
      <c r="G311" s="30"/>
      <c r="H311" s="30"/>
      <c r="I311" s="31"/>
    </row>
    <row r="312" ht="15.75" customHeight="1">
      <c r="A312" s="11"/>
      <c r="B312" s="11"/>
      <c r="C312" s="11"/>
      <c r="D312" s="30"/>
      <c r="E312" s="30"/>
      <c r="F312" s="30"/>
      <c r="G312" s="30"/>
      <c r="H312" s="30"/>
      <c r="I312" s="31"/>
    </row>
    <row r="313" ht="15.75" customHeight="1">
      <c r="A313" s="11"/>
      <c r="B313" s="11"/>
      <c r="C313" s="11"/>
      <c r="D313" s="30"/>
      <c r="E313" s="30"/>
      <c r="F313" s="30"/>
      <c r="G313" s="30"/>
      <c r="H313" s="30"/>
      <c r="I313" s="31"/>
    </row>
    <row r="314" ht="15.75" customHeight="1">
      <c r="A314" s="11"/>
      <c r="B314" s="11"/>
      <c r="C314" s="11"/>
      <c r="D314" s="30"/>
      <c r="E314" s="30"/>
      <c r="F314" s="30"/>
      <c r="G314" s="30"/>
      <c r="H314" s="30"/>
      <c r="I314" s="31"/>
    </row>
    <row r="315" ht="15.75" customHeight="1">
      <c r="A315" s="11"/>
      <c r="B315" s="11"/>
      <c r="C315" s="11"/>
      <c r="D315" s="30"/>
      <c r="E315" s="30"/>
      <c r="F315" s="30"/>
      <c r="G315" s="30"/>
      <c r="H315" s="30"/>
      <c r="I315" s="31"/>
    </row>
    <row r="316" ht="15.75" customHeight="1">
      <c r="A316" s="11"/>
      <c r="B316" s="11"/>
      <c r="C316" s="11"/>
      <c r="D316" s="30"/>
      <c r="E316" s="30"/>
      <c r="F316" s="30"/>
      <c r="G316" s="30"/>
      <c r="H316" s="30"/>
      <c r="I316" s="31"/>
    </row>
    <row r="317" ht="15.75" customHeight="1">
      <c r="A317" s="11"/>
      <c r="B317" s="11"/>
      <c r="C317" s="11"/>
      <c r="D317" s="30"/>
      <c r="E317" s="30"/>
      <c r="F317" s="30"/>
      <c r="G317" s="30"/>
      <c r="H317" s="30"/>
      <c r="I317" s="31"/>
    </row>
    <row r="318" ht="15.75" customHeight="1">
      <c r="A318" s="11"/>
      <c r="B318" s="11"/>
      <c r="C318" s="11"/>
      <c r="D318" s="30"/>
      <c r="E318" s="30"/>
      <c r="F318" s="30"/>
      <c r="G318" s="30"/>
      <c r="H318" s="30"/>
      <c r="I318" s="31"/>
    </row>
    <row r="319" ht="15.75" customHeight="1">
      <c r="A319" s="11"/>
      <c r="B319" s="11"/>
      <c r="C319" s="11"/>
      <c r="D319" s="30"/>
      <c r="E319" s="30"/>
      <c r="F319" s="30"/>
      <c r="G319" s="30"/>
      <c r="H319" s="30"/>
      <c r="I319" s="31"/>
    </row>
    <row r="320" ht="15.75" customHeight="1">
      <c r="A320" s="11"/>
      <c r="B320" s="11"/>
      <c r="C320" s="11"/>
      <c r="D320" s="30"/>
      <c r="E320" s="30"/>
      <c r="F320" s="30"/>
      <c r="G320" s="30"/>
      <c r="H320" s="30"/>
      <c r="I320" s="31"/>
    </row>
    <row r="321" ht="15.75" customHeight="1">
      <c r="A321" s="11"/>
      <c r="B321" s="11"/>
      <c r="C321" s="11"/>
      <c r="D321" s="30"/>
      <c r="E321" s="30"/>
      <c r="F321" s="30"/>
      <c r="G321" s="30"/>
      <c r="H321" s="30"/>
      <c r="I321" s="31"/>
    </row>
    <row r="322" ht="15.75" customHeight="1">
      <c r="A322" s="11"/>
      <c r="B322" s="11"/>
      <c r="C322" s="11"/>
      <c r="D322" s="30"/>
      <c r="E322" s="30"/>
      <c r="F322" s="30"/>
      <c r="G322" s="30"/>
      <c r="H322" s="30"/>
      <c r="I322" s="31"/>
    </row>
    <row r="323" ht="15.75" customHeight="1">
      <c r="A323" s="11"/>
      <c r="B323" s="11"/>
      <c r="C323" s="11"/>
      <c r="D323" s="30"/>
      <c r="E323" s="30"/>
      <c r="F323" s="30"/>
      <c r="G323" s="30"/>
      <c r="H323" s="30"/>
      <c r="I323" s="31"/>
    </row>
    <row r="324" ht="15.75" customHeight="1">
      <c r="A324" s="11"/>
      <c r="B324" s="11"/>
      <c r="C324" s="11"/>
      <c r="D324" s="30"/>
      <c r="E324" s="30"/>
      <c r="F324" s="30"/>
      <c r="G324" s="30"/>
      <c r="H324" s="30"/>
      <c r="I324" s="31"/>
    </row>
    <row r="325" ht="15.75" customHeight="1">
      <c r="A325" s="11"/>
      <c r="B325" s="11"/>
      <c r="C325" s="11"/>
      <c r="D325" s="30"/>
      <c r="E325" s="30"/>
      <c r="F325" s="30"/>
      <c r="G325" s="30"/>
      <c r="H325" s="30"/>
      <c r="I325" s="31"/>
    </row>
    <row r="326" ht="15.75" customHeight="1">
      <c r="A326" s="11"/>
      <c r="B326" s="11"/>
      <c r="C326" s="11"/>
      <c r="D326" s="30"/>
      <c r="E326" s="30"/>
      <c r="F326" s="30"/>
      <c r="G326" s="30"/>
      <c r="H326" s="30"/>
      <c r="I326" s="31"/>
    </row>
    <row r="327" ht="15.75" customHeight="1">
      <c r="A327" s="11"/>
      <c r="B327" s="11"/>
      <c r="C327" s="11"/>
      <c r="D327" s="30"/>
      <c r="E327" s="30"/>
      <c r="F327" s="30"/>
      <c r="G327" s="30"/>
      <c r="H327" s="30"/>
      <c r="I327" s="31"/>
    </row>
    <row r="328" ht="15.75" customHeight="1">
      <c r="A328" s="11"/>
      <c r="B328" s="11"/>
      <c r="C328" s="11"/>
      <c r="D328" s="30"/>
      <c r="E328" s="30"/>
      <c r="F328" s="30"/>
      <c r="G328" s="30"/>
      <c r="H328" s="30"/>
      <c r="I328" s="31"/>
    </row>
    <row r="329" ht="15.75" customHeight="1">
      <c r="A329" s="11"/>
      <c r="B329" s="11"/>
      <c r="C329" s="11"/>
      <c r="D329" s="30"/>
      <c r="E329" s="30"/>
      <c r="F329" s="30"/>
      <c r="G329" s="30"/>
      <c r="H329" s="30"/>
      <c r="I329" s="31"/>
    </row>
    <row r="330" ht="15.75" customHeight="1">
      <c r="A330" s="11"/>
      <c r="B330" s="11"/>
      <c r="C330" s="11"/>
      <c r="D330" s="30"/>
      <c r="E330" s="30"/>
      <c r="F330" s="30"/>
      <c r="G330" s="30"/>
      <c r="H330" s="30"/>
      <c r="I330" s="31"/>
    </row>
    <row r="331" ht="15.75" customHeight="1">
      <c r="A331" s="11"/>
      <c r="B331" s="11"/>
      <c r="C331" s="11"/>
      <c r="D331" s="30"/>
      <c r="E331" s="30"/>
      <c r="F331" s="30"/>
      <c r="G331" s="30"/>
      <c r="H331" s="30"/>
      <c r="I331" s="31"/>
    </row>
    <row r="332" ht="15.75" customHeight="1">
      <c r="A332" s="11"/>
      <c r="B332" s="11"/>
      <c r="C332" s="11"/>
      <c r="D332" s="30"/>
      <c r="E332" s="30"/>
      <c r="F332" s="30"/>
      <c r="G332" s="30"/>
      <c r="H332" s="30"/>
      <c r="I332" s="31"/>
    </row>
    <row r="333" ht="15.75" customHeight="1">
      <c r="A333" s="11"/>
      <c r="B333" s="11"/>
      <c r="C333" s="11"/>
      <c r="D333" s="30"/>
      <c r="E333" s="30"/>
      <c r="F333" s="30"/>
      <c r="G333" s="30"/>
      <c r="H333" s="30"/>
      <c r="I333" s="31"/>
    </row>
    <row r="334" ht="15.75" customHeight="1">
      <c r="A334" s="11"/>
      <c r="B334" s="11"/>
      <c r="C334" s="11"/>
      <c r="D334" s="30"/>
      <c r="E334" s="30"/>
      <c r="F334" s="30"/>
      <c r="G334" s="30"/>
      <c r="H334" s="30"/>
      <c r="I334" s="31"/>
    </row>
    <row r="335" ht="15.75" customHeight="1">
      <c r="A335" s="11"/>
      <c r="B335" s="11"/>
      <c r="C335" s="11"/>
      <c r="D335" s="30"/>
      <c r="E335" s="30"/>
      <c r="F335" s="30"/>
      <c r="G335" s="30"/>
      <c r="H335" s="30"/>
      <c r="I335" s="31"/>
    </row>
    <row r="336" ht="15.75" customHeight="1">
      <c r="A336" s="11"/>
      <c r="B336" s="11"/>
      <c r="C336" s="11"/>
      <c r="D336" s="30"/>
      <c r="E336" s="30"/>
      <c r="F336" s="30"/>
      <c r="G336" s="30"/>
      <c r="H336" s="30"/>
      <c r="I336" s="31"/>
    </row>
    <row r="337" ht="15.75" customHeight="1">
      <c r="A337" s="11"/>
      <c r="B337" s="11"/>
      <c r="C337" s="11"/>
      <c r="D337" s="30"/>
      <c r="E337" s="30"/>
      <c r="F337" s="30"/>
      <c r="G337" s="30"/>
      <c r="H337" s="30"/>
      <c r="I337" s="31"/>
    </row>
    <row r="338" ht="15.75" customHeight="1">
      <c r="A338" s="11"/>
      <c r="B338" s="11"/>
      <c r="C338" s="11"/>
      <c r="D338" s="30"/>
      <c r="E338" s="30"/>
      <c r="F338" s="30"/>
      <c r="G338" s="30"/>
      <c r="H338" s="30"/>
      <c r="I338" s="31"/>
    </row>
    <row r="339" ht="15.75" customHeight="1">
      <c r="A339" s="11"/>
      <c r="B339" s="11"/>
      <c r="C339" s="11"/>
      <c r="D339" s="30"/>
      <c r="E339" s="30"/>
      <c r="F339" s="30"/>
      <c r="G339" s="30"/>
      <c r="H339" s="30"/>
      <c r="I339" s="31"/>
    </row>
    <row r="340" ht="15.75" customHeight="1">
      <c r="A340" s="11"/>
      <c r="B340" s="11"/>
      <c r="C340" s="11"/>
      <c r="D340" s="30"/>
      <c r="E340" s="30"/>
      <c r="F340" s="30"/>
      <c r="G340" s="30"/>
      <c r="H340" s="30"/>
      <c r="I340" s="31"/>
    </row>
    <row r="341" ht="15.75" customHeight="1">
      <c r="A341" s="11"/>
      <c r="B341" s="11"/>
      <c r="C341" s="11"/>
      <c r="D341" s="30"/>
      <c r="E341" s="30"/>
      <c r="F341" s="30"/>
      <c r="G341" s="30"/>
      <c r="H341" s="30"/>
      <c r="I341" s="31"/>
    </row>
    <row r="342" ht="15.75" customHeight="1">
      <c r="A342" s="11"/>
      <c r="B342" s="11"/>
      <c r="C342" s="11"/>
      <c r="D342" s="30"/>
      <c r="E342" s="30"/>
      <c r="F342" s="30"/>
      <c r="G342" s="30"/>
      <c r="H342" s="30"/>
      <c r="I342" s="31"/>
    </row>
    <row r="343" ht="15.75" customHeight="1">
      <c r="A343" s="11"/>
      <c r="B343" s="11"/>
      <c r="C343" s="11"/>
      <c r="D343" s="30"/>
      <c r="E343" s="30"/>
      <c r="F343" s="30"/>
      <c r="G343" s="30"/>
      <c r="H343" s="30"/>
      <c r="I343" s="31"/>
    </row>
    <row r="344" ht="15.75" customHeight="1">
      <c r="A344" s="11"/>
      <c r="B344" s="11"/>
      <c r="C344" s="11"/>
      <c r="D344" s="30"/>
      <c r="E344" s="30"/>
      <c r="F344" s="30"/>
      <c r="G344" s="30"/>
      <c r="H344" s="30"/>
      <c r="I344" s="31"/>
    </row>
    <row r="345" ht="15.75" customHeight="1">
      <c r="A345" s="11"/>
      <c r="B345" s="11"/>
      <c r="C345" s="11"/>
      <c r="D345" s="30"/>
      <c r="E345" s="30"/>
      <c r="F345" s="30"/>
      <c r="G345" s="30"/>
      <c r="H345" s="30"/>
      <c r="I345" s="31"/>
    </row>
    <row r="346" ht="15.75" customHeight="1">
      <c r="A346" s="11"/>
      <c r="B346" s="11"/>
      <c r="C346" s="11"/>
      <c r="D346" s="30"/>
      <c r="E346" s="30"/>
      <c r="F346" s="30"/>
      <c r="G346" s="30"/>
      <c r="H346" s="30"/>
      <c r="I346" s="31"/>
    </row>
    <row r="347" ht="15.75" customHeight="1">
      <c r="A347" s="11"/>
      <c r="B347" s="11"/>
      <c r="C347" s="11"/>
      <c r="D347" s="30"/>
      <c r="E347" s="30"/>
      <c r="F347" s="30"/>
      <c r="G347" s="30"/>
      <c r="H347" s="30"/>
      <c r="I347" s="31"/>
    </row>
    <row r="348" ht="15.75" customHeight="1">
      <c r="A348" s="11"/>
      <c r="B348" s="11"/>
      <c r="C348" s="11"/>
      <c r="D348" s="30"/>
      <c r="E348" s="30"/>
      <c r="F348" s="30"/>
      <c r="G348" s="30"/>
      <c r="H348" s="30"/>
      <c r="I348" s="31"/>
    </row>
    <row r="349" ht="15.75" customHeight="1">
      <c r="A349" s="11"/>
      <c r="B349" s="11"/>
      <c r="C349" s="11"/>
      <c r="D349" s="30"/>
      <c r="E349" s="30"/>
      <c r="F349" s="30"/>
      <c r="G349" s="30"/>
      <c r="H349" s="30"/>
      <c r="I349" s="31"/>
    </row>
    <row r="350" ht="15.75" customHeight="1">
      <c r="A350" s="11"/>
      <c r="B350" s="11"/>
      <c r="C350" s="11"/>
      <c r="D350" s="30"/>
      <c r="E350" s="30"/>
      <c r="F350" s="30"/>
      <c r="G350" s="30"/>
      <c r="H350" s="30"/>
      <c r="I350" s="31"/>
    </row>
    <row r="351" ht="15.75" customHeight="1">
      <c r="A351" s="11"/>
      <c r="B351" s="11"/>
      <c r="C351" s="11"/>
      <c r="D351" s="30"/>
      <c r="E351" s="30"/>
      <c r="F351" s="30"/>
      <c r="G351" s="30"/>
      <c r="H351" s="30"/>
      <c r="I351" s="31"/>
    </row>
    <row r="352" ht="15.75" customHeight="1">
      <c r="A352" s="11"/>
      <c r="B352" s="11"/>
      <c r="C352" s="11"/>
      <c r="D352" s="30"/>
      <c r="E352" s="30"/>
      <c r="F352" s="30"/>
      <c r="G352" s="30"/>
      <c r="H352" s="30"/>
      <c r="I352" s="31"/>
    </row>
    <row r="353" ht="15.75" customHeight="1">
      <c r="A353" s="11"/>
      <c r="B353" s="11"/>
      <c r="C353" s="11"/>
      <c r="D353" s="30"/>
      <c r="E353" s="30"/>
      <c r="F353" s="30"/>
      <c r="G353" s="30"/>
      <c r="H353" s="30"/>
      <c r="I353" s="31"/>
    </row>
    <row r="354" ht="15.75" customHeight="1">
      <c r="A354" s="11"/>
      <c r="B354" s="11"/>
      <c r="C354" s="11"/>
      <c r="D354" s="30"/>
      <c r="E354" s="30"/>
      <c r="F354" s="30"/>
      <c r="G354" s="30"/>
      <c r="H354" s="30"/>
      <c r="I354" s="31"/>
    </row>
    <row r="355" ht="15.75" customHeight="1">
      <c r="A355" s="11"/>
      <c r="B355" s="11"/>
      <c r="C355" s="11"/>
      <c r="D355" s="30"/>
      <c r="E355" s="30"/>
      <c r="F355" s="30"/>
      <c r="G355" s="30"/>
      <c r="H355" s="30"/>
      <c r="I355" s="31"/>
    </row>
    <row r="356" ht="15.75" customHeight="1">
      <c r="A356" s="11"/>
      <c r="B356" s="11"/>
      <c r="C356" s="11"/>
      <c r="D356" s="30"/>
      <c r="E356" s="30"/>
      <c r="F356" s="30"/>
      <c r="G356" s="30"/>
      <c r="H356" s="30"/>
      <c r="I356" s="31"/>
    </row>
    <row r="357" ht="15.75" customHeight="1">
      <c r="A357" s="11"/>
      <c r="B357" s="11"/>
      <c r="C357" s="11"/>
      <c r="D357" s="30"/>
      <c r="E357" s="30"/>
      <c r="F357" s="30"/>
      <c r="G357" s="30"/>
      <c r="H357" s="30"/>
      <c r="I357" s="31"/>
    </row>
    <row r="358" ht="15.75" customHeight="1">
      <c r="A358" s="11"/>
      <c r="B358" s="11"/>
      <c r="C358" s="11"/>
      <c r="D358" s="30"/>
      <c r="E358" s="30"/>
      <c r="F358" s="30"/>
      <c r="G358" s="30"/>
      <c r="H358" s="30"/>
      <c r="I358" s="31"/>
    </row>
    <row r="359" ht="15.75" customHeight="1">
      <c r="A359" s="11"/>
      <c r="B359" s="11"/>
      <c r="C359" s="11"/>
      <c r="D359" s="30"/>
      <c r="E359" s="30"/>
      <c r="F359" s="30"/>
      <c r="G359" s="30"/>
      <c r="H359" s="30"/>
      <c r="I359" s="31"/>
    </row>
    <row r="360" ht="15.75" customHeight="1">
      <c r="A360" s="11"/>
      <c r="B360" s="11"/>
      <c r="C360" s="11"/>
      <c r="D360" s="30"/>
      <c r="E360" s="30"/>
      <c r="F360" s="30"/>
      <c r="G360" s="30"/>
      <c r="H360" s="30"/>
      <c r="I360" s="31"/>
    </row>
    <row r="361" ht="15.75" customHeight="1">
      <c r="A361" s="11"/>
      <c r="B361" s="11"/>
      <c r="C361" s="11"/>
      <c r="D361" s="30"/>
      <c r="E361" s="30"/>
      <c r="F361" s="30"/>
      <c r="G361" s="30"/>
      <c r="H361" s="30"/>
      <c r="I361" s="31"/>
    </row>
    <row r="362" ht="15.75" customHeight="1">
      <c r="A362" s="11"/>
      <c r="B362" s="11"/>
      <c r="C362" s="11"/>
      <c r="D362" s="30"/>
      <c r="E362" s="30"/>
      <c r="F362" s="30"/>
      <c r="G362" s="30"/>
      <c r="H362" s="30"/>
      <c r="I362" s="31"/>
    </row>
    <row r="363" ht="15.75" customHeight="1">
      <c r="A363" s="11"/>
      <c r="B363" s="11"/>
      <c r="C363" s="11"/>
      <c r="D363" s="30"/>
      <c r="E363" s="30"/>
      <c r="F363" s="30"/>
      <c r="G363" s="30"/>
      <c r="H363" s="30"/>
      <c r="I363" s="31"/>
    </row>
    <row r="364" ht="15.75" customHeight="1">
      <c r="A364" s="11"/>
      <c r="B364" s="11"/>
      <c r="C364" s="11"/>
      <c r="D364" s="30"/>
      <c r="E364" s="30"/>
      <c r="F364" s="30"/>
      <c r="G364" s="30"/>
      <c r="H364" s="30"/>
      <c r="I364" s="31"/>
    </row>
    <row r="365" ht="15.75" customHeight="1">
      <c r="A365" s="11"/>
      <c r="B365" s="11"/>
      <c r="C365" s="11"/>
      <c r="D365" s="30"/>
      <c r="E365" s="30"/>
      <c r="F365" s="30"/>
      <c r="G365" s="30"/>
      <c r="H365" s="30"/>
      <c r="I365" s="31"/>
    </row>
    <row r="366" ht="15.75" customHeight="1">
      <c r="A366" s="11"/>
      <c r="B366" s="11"/>
      <c r="C366" s="11"/>
      <c r="D366" s="30"/>
      <c r="E366" s="30"/>
      <c r="F366" s="30"/>
      <c r="G366" s="30"/>
      <c r="H366" s="30"/>
      <c r="I366" s="31"/>
    </row>
    <row r="367" ht="15.75" customHeight="1">
      <c r="A367" s="11"/>
      <c r="B367" s="11"/>
      <c r="C367" s="11"/>
      <c r="D367" s="30"/>
      <c r="E367" s="30"/>
      <c r="F367" s="30"/>
      <c r="G367" s="30"/>
      <c r="H367" s="30"/>
      <c r="I367" s="31"/>
    </row>
    <row r="368" ht="15.75" customHeight="1">
      <c r="A368" s="11"/>
      <c r="B368" s="11"/>
      <c r="C368" s="11"/>
      <c r="D368" s="30"/>
      <c r="E368" s="30"/>
      <c r="F368" s="30"/>
      <c r="G368" s="30"/>
      <c r="H368" s="30"/>
      <c r="I368" s="31"/>
    </row>
    <row r="369" ht="15.75" customHeight="1">
      <c r="A369" s="11"/>
      <c r="B369" s="11"/>
      <c r="C369" s="11"/>
      <c r="D369" s="30"/>
      <c r="E369" s="30"/>
      <c r="F369" s="30"/>
      <c r="G369" s="30"/>
      <c r="H369" s="30"/>
      <c r="I369" s="31"/>
    </row>
    <row r="370" ht="15.75" customHeight="1">
      <c r="A370" s="11"/>
      <c r="B370" s="11"/>
      <c r="C370" s="11"/>
      <c r="D370" s="30"/>
      <c r="E370" s="30"/>
      <c r="F370" s="30"/>
      <c r="G370" s="30"/>
      <c r="H370" s="30"/>
      <c r="I370" s="31"/>
    </row>
    <row r="371" ht="15.75" customHeight="1">
      <c r="A371" s="11"/>
      <c r="B371" s="11"/>
      <c r="C371" s="11"/>
      <c r="D371" s="30"/>
      <c r="E371" s="30"/>
      <c r="F371" s="30"/>
      <c r="G371" s="30"/>
      <c r="H371" s="30"/>
      <c r="I371" s="31"/>
    </row>
    <row r="372" ht="15.75" customHeight="1">
      <c r="A372" s="11"/>
      <c r="B372" s="11"/>
      <c r="C372" s="11"/>
      <c r="D372" s="30"/>
      <c r="E372" s="30"/>
      <c r="F372" s="30"/>
      <c r="G372" s="30"/>
      <c r="H372" s="30"/>
      <c r="I372" s="31"/>
    </row>
    <row r="373" ht="15.75" customHeight="1">
      <c r="A373" s="11"/>
      <c r="B373" s="11"/>
      <c r="C373" s="11"/>
      <c r="D373" s="30"/>
      <c r="E373" s="30"/>
      <c r="F373" s="30"/>
      <c r="G373" s="30"/>
      <c r="H373" s="30"/>
      <c r="I373" s="31"/>
    </row>
    <row r="374" ht="15.75" customHeight="1">
      <c r="A374" s="11"/>
      <c r="B374" s="11"/>
      <c r="C374" s="11"/>
      <c r="D374" s="30"/>
      <c r="E374" s="30"/>
      <c r="F374" s="30"/>
      <c r="G374" s="30"/>
      <c r="H374" s="30"/>
      <c r="I374" s="31"/>
    </row>
    <row r="375" ht="15.75" customHeight="1">
      <c r="A375" s="11"/>
      <c r="B375" s="11"/>
      <c r="C375" s="11"/>
      <c r="D375" s="30"/>
      <c r="E375" s="30"/>
      <c r="F375" s="30"/>
      <c r="G375" s="30"/>
      <c r="H375" s="30"/>
      <c r="I375" s="31"/>
    </row>
    <row r="376" ht="15.75" customHeight="1">
      <c r="A376" s="11"/>
      <c r="B376" s="11"/>
      <c r="C376" s="11"/>
      <c r="D376" s="30"/>
      <c r="E376" s="30"/>
      <c r="F376" s="30"/>
      <c r="G376" s="30"/>
      <c r="H376" s="30"/>
      <c r="I376" s="31"/>
    </row>
    <row r="377" ht="15.75" customHeight="1">
      <c r="A377" s="11"/>
      <c r="B377" s="11"/>
      <c r="C377" s="11"/>
      <c r="D377" s="30"/>
      <c r="E377" s="30"/>
      <c r="F377" s="30"/>
      <c r="G377" s="30"/>
      <c r="H377" s="30"/>
      <c r="I377" s="31"/>
    </row>
    <row r="378" ht="15.75" customHeight="1">
      <c r="A378" s="11"/>
      <c r="B378" s="11"/>
      <c r="C378" s="11"/>
      <c r="D378" s="30"/>
      <c r="E378" s="30"/>
      <c r="F378" s="30"/>
      <c r="G378" s="30"/>
      <c r="H378" s="30"/>
      <c r="I378" s="31"/>
    </row>
    <row r="379" ht="15.75" customHeight="1">
      <c r="A379" s="11"/>
      <c r="B379" s="11"/>
      <c r="C379" s="11"/>
      <c r="D379" s="30"/>
      <c r="E379" s="30"/>
      <c r="F379" s="30"/>
      <c r="G379" s="30"/>
      <c r="H379" s="30"/>
      <c r="I379" s="31"/>
    </row>
    <row r="380" ht="15.75" customHeight="1">
      <c r="A380" s="11"/>
      <c r="B380" s="11"/>
      <c r="C380" s="11"/>
      <c r="D380" s="30"/>
      <c r="E380" s="30"/>
      <c r="F380" s="30"/>
      <c r="G380" s="30"/>
      <c r="H380" s="30"/>
      <c r="I380" s="31"/>
    </row>
    <row r="381" ht="15.75" customHeight="1">
      <c r="A381" s="11"/>
      <c r="B381" s="11"/>
      <c r="C381" s="11"/>
      <c r="D381" s="30"/>
      <c r="E381" s="30"/>
      <c r="F381" s="30"/>
      <c r="G381" s="30"/>
      <c r="H381" s="30"/>
      <c r="I381" s="31"/>
    </row>
    <row r="382" ht="15.75" customHeight="1">
      <c r="A382" s="11"/>
      <c r="B382" s="11"/>
      <c r="C382" s="11"/>
      <c r="D382" s="30"/>
      <c r="E382" s="30"/>
      <c r="F382" s="30"/>
      <c r="G382" s="30"/>
      <c r="H382" s="30"/>
      <c r="I382" s="31"/>
    </row>
    <row r="383" ht="15.75" customHeight="1">
      <c r="A383" s="11"/>
      <c r="B383" s="11"/>
      <c r="C383" s="11"/>
      <c r="D383" s="30"/>
      <c r="E383" s="30"/>
      <c r="F383" s="30"/>
      <c r="G383" s="30"/>
      <c r="H383" s="30"/>
      <c r="I383" s="31"/>
    </row>
    <row r="384" ht="15.75" customHeight="1">
      <c r="A384" s="11"/>
      <c r="B384" s="11"/>
      <c r="C384" s="11"/>
      <c r="D384" s="30"/>
      <c r="E384" s="30"/>
      <c r="F384" s="30"/>
      <c r="G384" s="30"/>
      <c r="H384" s="30"/>
      <c r="I384" s="31"/>
    </row>
    <row r="385" ht="15.75" customHeight="1">
      <c r="A385" s="11"/>
      <c r="B385" s="11"/>
      <c r="C385" s="11"/>
      <c r="D385" s="30"/>
      <c r="E385" s="30"/>
      <c r="F385" s="30"/>
      <c r="G385" s="30"/>
      <c r="H385" s="30"/>
      <c r="I385" s="31"/>
    </row>
    <row r="386" ht="15.75" customHeight="1">
      <c r="A386" s="11"/>
      <c r="B386" s="11"/>
      <c r="C386" s="11"/>
      <c r="D386" s="30"/>
      <c r="E386" s="30"/>
      <c r="F386" s="30"/>
      <c r="G386" s="30"/>
      <c r="H386" s="30"/>
      <c r="I386" s="31"/>
    </row>
    <row r="387" ht="15.75" customHeight="1">
      <c r="A387" s="11"/>
      <c r="B387" s="11"/>
      <c r="C387" s="11"/>
      <c r="D387" s="30"/>
      <c r="E387" s="30"/>
      <c r="F387" s="30"/>
      <c r="G387" s="30"/>
      <c r="H387" s="30"/>
      <c r="I387" s="31"/>
    </row>
    <row r="388" ht="15.75" customHeight="1">
      <c r="A388" s="11"/>
      <c r="B388" s="11"/>
      <c r="C388" s="11"/>
      <c r="D388" s="30"/>
      <c r="E388" s="30"/>
      <c r="F388" s="30"/>
      <c r="G388" s="30"/>
      <c r="H388" s="30"/>
      <c r="I388" s="31"/>
    </row>
    <row r="389" ht="15.75" customHeight="1">
      <c r="A389" s="11"/>
      <c r="B389" s="11"/>
      <c r="C389" s="11"/>
      <c r="D389" s="30"/>
      <c r="E389" s="30"/>
      <c r="F389" s="30"/>
      <c r="G389" s="30"/>
      <c r="H389" s="30"/>
      <c r="I389" s="31"/>
    </row>
    <row r="390" ht="15.75" customHeight="1">
      <c r="A390" s="11"/>
      <c r="B390" s="11"/>
      <c r="C390" s="11"/>
      <c r="D390" s="30"/>
      <c r="E390" s="30"/>
      <c r="F390" s="30"/>
      <c r="G390" s="30"/>
      <c r="H390" s="30"/>
      <c r="I390" s="31"/>
    </row>
    <row r="391" ht="15.75" customHeight="1">
      <c r="A391" s="11"/>
      <c r="B391" s="11"/>
      <c r="C391" s="11"/>
      <c r="D391" s="30"/>
      <c r="E391" s="30"/>
      <c r="F391" s="30"/>
      <c r="G391" s="30"/>
      <c r="H391" s="30"/>
      <c r="I391" s="31"/>
    </row>
    <row r="392" ht="15.75" customHeight="1">
      <c r="A392" s="11"/>
      <c r="B392" s="11"/>
      <c r="C392" s="11"/>
      <c r="D392" s="30"/>
      <c r="E392" s="30"/>
      <c r="F392" s="30"/>
      <c r="G392" s="30"/>
      <c r="H392" s="30"/>
      <c r="I392" s="31"/>
    </row>
    <row r="393" ht="15.75" customHeight="1">
      <c r="A393" s="11"/>
      <c r="B393" s="11"/>
      <c r="C393" s="11"/>
      <c r="D393" s="30"/>
      <c r="E393" s="30"/>
      <c r="F393" s="30"/>
      <c r="G393" s="30"/>
      <c r="H393" s="30"/>
      <c r="I393" s="31"/>
    </row>
    <row r="394" ht="15.75" customHeight="1">
      <c r="A394" s="11"/>
      <c r="B394" s="11"/>
      <c r="C394" s="11"/>
      <c r="D394" s="30"/>
      <c r="E394" s="30"/>
      <c r="F394" s="30"/>
      <c r="G394" s="30"/>
      <c r="H394" s="30"/>
      <c r="I394" s="31"/>
    </row>
    <row r="395" ht="15.75" customHeight="1">
      <c r="A395" s="11"/>
      <c r="B395" s="11"/>
      <c r="C395" s="11"/>
      <c r="D395" s="30"/>
      <c r="E395" s="30"/>
      <c r="F395" s="30"/>
      <c r="G395" s="30"/>
      <c r="H395" s="30"/>
      <c r="I395" s="31"/>
    </row>
    <row r="396" ht="15.75" customHeight="1">
      <c r="A396" s="11"/>
      <c r="B396" s="11"/>
      <c r="C396" s="11"/>
      <c r="D396" s="30"/>
      <c r="E396" s="30"/>
      <c r="F396" s="30"/>
      <c r="G396" s="30"/>
      <c r="H396" s="30"/>
      <c r="I396" s="31"/>
    </row>
    <row r="397" ht="15.75" customHeight="1">
      <c r="A397" s="11"/>
      <c r="B397" s="11"/>
      <c r="C397" s="11"/>
      <c r="D397" s="30"/>
      <c r="E397" s="30"/>
      <c r="F397" s="30"/>
      <c r="G397" s="30"/>
      <c r="H397" s="30"/>
      <c r="I397" s="31"/>
    </row>
    <row r="398" ht="15.75" customHeight="1">
      <c r="A398" s="11"/>
      <c r="B398" s="11"/>
      <c r="C398" s="11"/>
      <c r="D398" s="30"/>
      <c r="E398" s="30"/>
      <c r="F398" s="30"/>
      <c r="G398" s="30"/>
      <c r="H398" s="30"/>
      <c r="I398" s="31"/>
    </row>
    <row r="399" ht="15.75" customHeight="1">
      <c r="A399" s="11"/>
      <c r="B399" s="11"/>
      <c r="C399" s="11"/>
      <c r="D399" s="30"/>
      <c r="E399" s="30"/>
      <c r="F399" s="30"/>
      <c r="G399" s="30"/>
      <c r="H399" s="30"/>
      <c r="I399" s="31"/>
    </row>
    <row r="400" ht="15.75" customHeight="1">
      <c r="A400" s="11"/>
      <c r="B400" s="11"/>
      <c r="C400" s="11"/>
      <c r="D400" s="30"/>
      <c r="E400" s="30"/>
      <c r="F400" s="30"/>
      <c r="G400" s="30"/>
      <c r="H400" s="30"/>
      <c r="I400" s="31"/>
    </row>
    <row r="401" ht="15.75" customHeight="1">
      <c r="A401" s="11"/>
      <c r="B401" s="11"/>
      <c r="C401" s="11"/>
      <c r="D401" s="30"/>
      <c r="E401" s="30"/>
      <c r="F401" s="30"/>
      <c r="G401" s="30"/>
      <c r="H401" s="30"/>
      <c r="I401" s="31"/>
    </row>
    <row r="402" ht="15.75" customHeight="1">
      <c r="A402" s="11"/>
      <c r="B402" s="11"/>
      <c r="C402" s="11"/>
      <c r="D402" s="30"/>
      <c r="E402" s="30"/>
      <c r="F402" s="30"/>
      <c r="G402" s="30"/>
      <c r="H402" s="30"/>
      <c r="I402" s="31"/>
    </row>
    <row r="403" ht="15.75" customHeight="1">
      <c r="A403" s="11"/>
      <c r="B403" s="11"/>
      <c r="C403" s="11"/>
      <c r="D403" s="30"/>
      <c r="E403" s="30"/>
      <c r="F403" s="30"/>
      <c r="G403" s="30"/>
      <c r="H403" s="30"/>
      <c r="I403" s="31"/>
    </row>
    <row r="404" ht="15.75" customHeight="1">
      <c r="A404" s="11"/>
      <c r="B404" s="11"/>
      <c r="C404" s="11"/>
      <c r="D404" s="30"/>
      <c r="E404" s="30"/>
      <c r="F404" s="30"/>
      <c r="G404" s="30"/>
      <c r="H404" s="30"/>
      <c r="I404" s="31"/>
    </row>
    <row r="405" ht="15.75" customHeight="1">
      <c r="A405" s="11"/>
      <c r="B405" s="11"/>
      <c r="C405" s="11"/>
      <c r="D405" s="30"/>
      <c r="E405" s="30"/>
      <c r="F405" s="30"/>
      <c r="G405" s="30"/>
      <c r="H405" s="30"/>
      <c r="I405" s="31"/>
    </row>
    <row r="406" ht="15.75" customHeight="1">
      <c r="A406" s="11"/>
      <c r="B406" s="11"/>
      <c r="C406" s="11"/>
      <c r="D406" s="30"/>
      <c r="E406" s="30"/>
      <c r="F406" s="30"/>
      <c r="G406" s="30"/>
      <c r="H406" s="30"/>
      <c r="I406" s="31"/>
    </row>
    <row r="407" ht="15.75" customHeight="1">
      <c r="A407" s="11"/>
      <c r="B407" s="11"/>
      <c r="C407" s="11"/>
      <c r="D407" s="30"/>
      <c r="E407" s="30"/>
      <c r="F407" s="30"/>
      <c r="G407" s="30"/>
      <c r="H407" s="30"/>
      <c r="I407" s="31"/>
    </row>
    <row r="408" ht="15.75" customHeight="1">
      <c r="A408" s="11"/>
      <c r="B408" s="11"/>
      <c r="C408" s="11"/>
      <c r="D408" s="30"/>
      <c r="E408" s="30"/>
      <c r="F408" s="30"/>
      <c r="G408" s="30"/>
      <c r="H408" s="30"/>
      <c r="I408" s="31"/>
    </row>
    <row r="409" ht="15.75" customHeight="1">
      <c r="A409" s="11"/>
      <c r="B409" s="11"/>
      <c r="C409" s="11"/>
      <c r="D409" s="30"/>
      <c r="E409" s="30"/>
      <c r="F409" s="30"/>
      <c r="G409" s="30"/>
      <c r="H409" s="30"/>
      <c r="I409" s="31"/>
    </row>
    <row r="410" ht="15.75" customHeight="1">
      <c r="A410" s="11"/>
      <c r="B410" s="11"/>
      <c r="C410" s="11"/>
      <c r="D410" s="30"/>
      <c r="E410" s="30"/>
      <c r="F410" s="30"/>
      <c r="G410" s="30"/>
      <c r="H410" s="30"/>
      <c r="I410" s="31"/>
    </row>
    <row r="411" ht="15.75" customHeight="1">
      <c r="A411" s="11"/>
      <c r="B411" s="11"/>
      <c r="C411" s="11"/>
      <c r="D411" s="30"/>
      <c r="E411" s="30"/>
      <c r="F411" s="30"/>
      <c r="G411" s="30"/>
      <c r="H411" s="30"/>
      <c r="I411" s="31"/>
    </row>
    <row r="412" ht="15.75" customHeight="1">
      <c r="A412" s="11"/>
      <c r="B412" s="11"/>
      <c r="C412" s="11"/>
      <c r="D412" s="30"/>
      <c r="E412" s="30"/>
      <c r="F412" s="30"/>
      <c r="G412" s="30"/>
      <c r="H412" s="30"/>
      <c r="I412" s="31"/>
    </row>
    <row r="413" ht="15.75" customHeight="1">
      <c r="A413" s="11"/>
      <c r="B413" s="11"/>
      <c r="C413" s="11"/>
      <c r="D413" s="30"/>
      <c r="E413" s="30"/>
      <c r="F413" s="30"/>
      <c r="G413" s="30"/>
      <c r="H413" s="30"/>
      <c r="I413" s="31"/>
    </row>
    <row r="414" ht="15.75" customHeight="1">
      <c r="A414" s="11"/>
      <c r="B414" s="11"/>
      <c r="C414" s="11"/>
      <c r="D414" s="30"/>
      <c r="E414" s="30"/>
      <c r="F414" s="30"/>
      <c r="G414" s="30"/>
      <c r="H414" s="30"/>
      <c r="I414" s="31"/>
    </row>
    <row r="415" ht="15.75" customHeight="1">
      <c r="A415" s="11"/>
      <c r="B415" s="11"/>
      <c r="C415" s="11"/>
      <c r="D415" s="30"/>
      <c r="E415" s="30"/>
      <c r="F415" s="30"/>
      <c r="G415" s="30"/>
      <c r="H415" s="30"/>
      <c r="I415" s="31"/>
    </row>
    <row r="416" ht="15.75" customHeight="1">
      <c r="A416" s="11"/>
      <c r="B416" s="11"/>
      <c r="C416" s="11"/>
      <c r="D416" s="30"/>
      <c r="E416" s="30"/>
      <c r="F416" s="30"/>
      <c r="G416" s="30"/>
      <c r="H416" s="30"/>
      <c r="I416" s="31"/>
    </row>
    <row r="417" ht="15.75" customHeight="1">
      <c r="A417" s="11"/>
      <c r="B417" s="11"/>
      <c r="C417" s="11"/>
      <c r="D417" s="30"/>
      <c r="E417" s="30"/>
      <c r="F417" s="30"/>
      <c r="G417" s="30"/>
      <c r="H417" s="30"/>
      <c r="I417" s="31"/>
    </row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6" width="12.63"/>
  </cols>
  <sheetData>
    <row r="1" ht="15.75" customHeight="1">
      <c r="A1" s="21" t="s">
        <v>1</v>
      </c>
      <c r="B1" s="21" t="s">
        <v>3634</v>
      </c>
    </row>
    <row r="2" ht="15.75" customHeight="1">
      <c r="A2" s="21" t="s">
        <v>2769</v>
      </c>
      <c r="B2" s="21">
        <v>73.0</v>
      </c>
    </row>
    <row r="3" ht="15.75" customHeight="1">
      <c r="A3" s="21" t="s">
        <v>2868</v>
      </c>
      <c r="B3" s="21">
        <v>54.0</v>
      </c>
    </row>
    <row r="4" ht="15.75" customHeight="1">
      <c r="A4" s="21" t="s">
        <v>2860</v>
      </c>
      <c r="B4" s="21">
        <v>30.0</v>
      </c>
    </row>
    <row r="5" ht="15.75" customHeight="1">
      <c r="A5" s="21" t="s">
        <v>16</v>
      </c>
      <c r="B5" s="21">
        <v>29.0</v>
      </c>
    </row>
    <row r="6" ht="15.75" customHeight="1">
      <c r="A6" s="21" t="s">
        <v>2770</v>
      </c>
      <c r="B6" s="21">
        <v>19.0</v>
      </c>
    </row>
    <row r="7" ht="15.75" customHeight="1">
      <c r="A7" s="21" t="s">
        <v>2862</v>
      </c>
      <c r="B7" s="21">
        <v>7.0</v>
      </c>
    </row>
    <row r="8" ht="15.75" customHeight="1">
      <c r="A8" s="21" t="s">
        <v>2858</v>
      </c>
      <c r="B8" s="21">
        <v>4.0</v>
      </c>
    </row>
    <row r="9" ht="15.75" customHeight="1"/>
    <row r="10" ht="15.75" customHeight="1">
      <c r="A10" s="21" t="s">
        <v>3635</v>
      </c>
    </row>
    <row r="11" ht="15.75" customHeight="1">
      <c r="A11" s="21" t="s">
        <v>3636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25"/>
    <col customWidth="1" min="2" max="2" width="20.0"/>
    <col customWidth="1" min="3" max="3" width="13.38"/>
    <col customWidth="1" min="4" max="6" width="12.63"/>
  </cols>
  <sheetData>
    <row r="1" ht="15.75" customHeight="1"/>
    <row r="2" ht="15.75" customHeight="1"/>
    <row r="3" ht="15.75" customHeight="1">
      <c r="F3" s="21" t="s">
        <v>3639</v>
      </c>
    </row>
    <row r="4" ht="15.75" customHeight="1">
      <c r="F4" s="21" t="s">
        <v>3641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D1000">
    <cfRule type="colorScale" priority="1">
      <colorScale>
        <cfvo type="min"/>
        <cfvo type="max"/>
        <color rgb="FFFFFFFF"/>
        <color rgb="FFE67C73"/>
      </colorScale>
    </cfRule>
  </conditionalFormatting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2" width="28.0"/>
    <col customWidth="1" min="3" max="3" width="22.0"/>
    <col customWidth="1" min="4" max="6" width="12.63"/>
  </cols>
  <sheetData>
    <row r="1" ht="15.75" customHeight="1">
      <c r="A1" s="40" t="s">
        <v>1</v>
      </c>
      <c r="B1" s="40" t="s">
        <v>2</v>
      </c>
      <c r="C1" s="40" t="s">
        <v>3661</v>
      </c>
      <c r="D1" s="41" t="s">
        <v>13</v>
      </c>
    </row>
    <row r="2" ht="15.75" customHeight="1">
      <c r="A2" s="32" t="str">
        <f t="array" ref="A2">XLOOKUP(B2, city_to_region!$B$5:$B$96, city_to_region!$A$5:$A$96)</f>
        <v>Карагандинская</v>
      </c>
      <c r="B2" s="21" t="s">
        <v>2793</v>
      </c>
      <c r="C2" s="9">
        <v>8.02</v>
      </c>
      <c r="D2" s="35">
        <v>2024.0</v>
      </c>
    </row>
    <row r="3" ht="15.75" customHeight="1">
      <c r="A3" s="32" t="str">
        <f t="array" ref="A3">XLOOKUP(B3, city_to_region!$B$5:$B$96, city_to_region!$A$5:$A$96)</f>
        <v>Карагандинская</v>
      </c>
      <c r="B3" s="21" t="s">
        <v>2817</v>
      </c>
      <c r="C3" s="9">
        <v>17.9</v>
      </c>
      <c r="D3" s="35">
        <v>2024.0</v>
      </c>
    </row>
    <row r="4" ht="15.75" customHeight="1">
      <c r="A4" s="32" t="str">
        <f t="array" ref="A4">XLOOKUP(B4, city_to_region!$B$5:$B$96, city_to_region!$A$5:$A$96)</f>
        <v>Область Улытау</v>
      </c>
      <c r="B4" s="21" t="s">
        <v>2795</v>
      </c>
      <c r="C4" s="9">
        <v>18.3</v>
      </c>
      <c r="D4" s="35">
        <v>2024.0</v>
      </c>
    </row>
    <row r="5" ht="15.75" customHeight="1">
      <c r="A5" s="32" t="str">
        <f t="array" ref="A5">XLOOKUP(B5, city_to_region!$B$5:$B$96, city_to_region!$A$5:$A$96)</f>
        <v>г. Алматы</v>
      </c>
      <c r="B5" s="32" t="s">
        <v>2798</v>
      </c>
      <c r="C5" s="9">
        <v>2.4</v>
      </c>
      <c r="D5" s="35">
        <v>2024.0</v>
      </c>
    </row>
    <row r="6" ht="15.75" customHeight="1">
      <c r="A6" s="32" t="str">
        <f t="array" ref="A6">XLOOKUP(B6, city_to_region!$B$5:$B$96, city_to_region!$A$5:$A$96)</f>
        <v>Восточно-Казахстанская</v>
      </c>
      <c r="B6" s="32" t="s">
        <v>2794</v>
      </c>
      <c r="C6" s="9">
        <v>6.96</v>
      </c>
      <c r="D6" s="35">
        <v>2024.0</v>
      </c>
    </row>
    <row r="7" ht="15.75" customHeight="1">
      <c r="A7" s="32" t="str">
        <f t="array" ref="A7">XLOOKUP(B7, city_to_region!$B$5:$B$96, city_to_region!$A$5:$A$96)</f>
        <v>Восточно-Казахстанская</v>
      </c>
      <c r="B7" s="32" t="s">
        <v>2812</v>
      </c>
      <c r="C7" s="9">
        <v>2.5</v>
      </c>
      <c r="D7" s="35">
        <v>2024.0</v>
      </c>
    </row>
    <row r="8" ht="15.75" customHeight="1">
      <c r="A8" s="32" t="str">
        <f t="array" ref="A8">XLOOKUP(B8, city_to_region!$B$5:$B$96, city_to_region!$A$5:$A$96)</f>
        <v>Восточно-Казахстанская</v>
      </c>
      <c r="B8" s="32" t="s">
        <v>2812</v>
      </c>
      <c r="C8" s="9">
        <v>40.7</v>
      </c>
      <c r="D8" s="35">
        <v>2024.0</v>
      </c>
    </row>
    <row r="9" ht="15.75" customHeight="1">
      <c r="A9" s="32" t="str">
        <f t="array" ref="A9">XLOOKUP(B9, city_to_region!$B$5:$B$96, city_to_region!$A$5:$A$96)</f>
        <v>Область Абай</v>
      </c>
      <c r="B9" s="32" t="s">
        <v>2804</v>
      </c>
      <c r="C9" s="9">
        <v>2.23</v>
      </c>
      <c r="D9" s="35">
        <v>2024.0</v>
      </c>
    </row>
    <row r="10" ht="15.75" customHeight="1">
      <c r="A10" s="32" t="str">
        <f t="array" ref="A10">XLOOKUP(B10, city_to_region!$B$5:$B$96, city_to_region!$A$5:$A$96)</f>
        <v>Кызылординская</v>
      </c>
      <c r="B10" s="32" t="s">
        <v>2805</v>
      </c>
      <c r="C10" s="9">
        <v>1.16</v>
      </c>
      <c r="D10" s="35">
        <v>2024.0</v>
      </c>
    </row>
    <row r="11" ht="15.75" customHeight="1">
      <c r="A11" s="32" t="str">
        <f t="array" ref="A11">XLOOKUP(B11, city_to_region!$B$5:$B$96, city_to_region!$A$5:$A$96)</f>
        <v>Кызылординская</v>
      </c>
      <c r="B11" s="21" t="s">
        <v>3662</v>
      </c>
      <c r="C11" s="9">
        <v>5.75</v>
      </c>
      <c r="D11" s="35">
        <v>2024.0</v>
      </c>
    </row>
    <row r="12" ht="15.75" customHeight="1">
      <c r="A12" s="32" t="str">
        <f t="array" ref="A12">XLOOKUP(B12, city_to_region!$B$5:$B$96, city_to_region!$A$5:$A$96)</f>
        <v>Область Жетысу</v>
      </c>
      <c r="B12" s="21" t="s">
        <v>2807</v>
      </c>
      <c r="C12" s="9">
        <v>2.21</v>
      </c>
      <c r="D12" s="35">
        <v>2024.0</v>
      </c>
    </row>
    <row r="13" ht="15.75" customHeight="1">
      <c r="A13" s="32" t="str">
        <f t="array" ref="A13">XLOOKUP(B13, city_to_region!$B$5:$B$96, city_to_region!$A$5:$A$96)</f>
        <v>Область Жетысу</v>
      </c>
      <c r="B13" s="21" t="s">
        <v>2807</v>
      </c>
      <c r="C13" s="9">
        <v>15.5</v>
      </c>
      <c r="D13" s="35">
        <v>2024.0</v>
      </c>
    </row>
    <row r="14" ht="15.75" customHeight="1">
      <c r="A14" s="32" t="str">
        <f t="array" ref="A14">XLOOKUP(B14, city_to_region!$B$5:$B$96, city_to_region!$A$5:$A$96)</f>
        <v>Область Жетысу</v>
      </c>
      <c r="B14" s="21" t="s">
        <v>3663</v>
      </c>
      <c r="C14" s="9">
        <v>3.05</v>
      </c>
      <c r="D14" s="35">
        <v>2024.0</v>
      </c>
    </row>
    <row r="15" ht="15.75" customHeight="1">
      <c r="A15" s="32" t="str">
        <f t="array" ref="A15">XLOOKUP(B15, city_to_region!$B$5:$B$96, city_to_region!$A$5:$A$96)</f>
        <v>Область Жетысу</v>
      </c>
      <c r="B15" s="21" t="s">
        <v>2832</v>
      </c>
      <c r="C15" s="9">
        <v>1.78</v>
      </c>
      <c r="D15" s="35">
        <v>2024.0</v>
      </c>
    </row>
    <row r="16" ht="15.75" customHeight="1">
      <c r="A16" s="32" t="str">
        <f t="array" ref="A16">XLOOKUP(B16, city_to_region!$B$5:$B$96, city_to_region!$A$5:$A$96)</f>
        <v>Жамбылская</v>
      </c>
      <c r="B16" s="21" t="s">
        <v>2801</v>
      </c>
      <c r="C16" s="9">
        <v>1.95</v>
      </c>
      <c r="D16" s="35">
        <v>2024.0</v>
      </c>
    </row>
    <row r="17" ht="15.75" customHeight="1">
      <c r="A17" s="32" t="str">
        <f t="array" ref="A17">XLOOKUP(B17, city_to_region!$B$5:$B$96, city_to_region!$A$5:$A$96)</f>
        <v>Жамбылская</v>
      </c>
      <c r="B17" s="32" t="s">
        <v>3664</v>
      </c>
      <c r="C17" s="9">
        <v>1.4</v>
      </c>
      <c r="D17" s="35">
        <v>2024.0</v>
      </c>
    </row>
    <row r="18" ht="15.75" customHeight="1">
      <c r="A18" s="32" t="str">
        <f t="array" ref="A18">XLOOKUP(B18, city_to_region!$B$5:$B$96, city_to_region!$A$5:$A$96)</f>
        <v>Павлодарская</v>
      </c>
      <c r="B18" s="21" t="s">
        <v>2821</v>
      </c>
      <c r="C18" s="9">
        <v>1.1</v>
      </c>
      <c r="D18" s="35">
        <v>2024.0</v>
      </c>
    </row>
    <row r="19" ht="15.75" customHeight="1">
      <c r="A19" s="32" t="str">
        <f t="array" ref="A19">XLOOKUP(B19, city_to_region!$B$5:$B$96, city_to_region!$A$5:$A$96)</f>
        <v>Павлодарская</v>
      </c>
      <c r="B19" s="32" t="s">
        <v>3665</v>
      </c>
      <c r="C19" s="9">
        <v>1.4</v>
      </c>
      <c r="D19" s="35">
        <v>2024.0</v>
      </c>
    </row>
    <row r="20" ht="15.75" customHeight="1">
      <c r="A20" s="32" t="str">
        <f t="array" ref="A20">XLOOKUP(B20, city_to_region!$B$5:$B$96, city_to_region!$A$5:$A$96)</f>
        <v>г. Шымкент</v>
      </c>
      <c r="B20" s="21" t="s">
        <v>2594</v>
      </c>
      <c r="C20" s="9">
        <v>1.14</v>
      </c>
      <c r="D20" s="35">
        <v>2024.0</v>
      </c>
    </row>
    <row r="21" ht="15.75" customHeight="1">
      <c r="A21" s="32" t="str">
        <f t="array" ref="A21">XLOOKUP(B21, city_to_region!$B$5:$B$96, city_to_region!$A$5:$A$96)</f>
        <v>Туркестанская</v>
      </c>
      <c r="B21" s="21" t="s">
        <v>2799</v>
      </c>
      <c r="C21" s="9">
        <v>1.5</v>
      </c>
      <c r="D21" s="35">
        <v>2024.0</v>
      </c>
    </row>
    <row r="22" ht="15.75" customHeight="1">
      <c r="A22" s="32" t="str">
        <f t="array" ref="A22">XLOOKUP(B22, city_to_region!$B$5:$B$96, city_to_region!$A$5:$A$96)</f>
        <v>Туркестанская</v>
      </c>
      <c r="B22" s="21" t="s">
        <v>2855</v>
      </c>
      <c r="C22" s="9">
        <v>1.2</v>
      </c>
      <c r="D22" s="35">
        <v>2024.0</v>
      </c>
    </row>
    <row r="23" ht="15.75" customHeight="1">
      <c r="A23" s="32" t="str">
        <f t="array" ref="A23">XLOOKUP(B23, city_to_region!$B$5:$B$96, city_to_region!$A$5:$A$96)</f>
        <v>Костанайская</v>
      </c>
      <c r="B23" s="21" t="s">
        <v>2800</v>
      </c>
      <c r="C23" s="9">
        <v>1.11</v>
      </c>
      <c r="D23" s="35">
        <v>2024.0</v>
      </c>
    </row>
    <row r="24" ht="15.75" customHeight="1">
      <c r="A24" s="32" t="str">
        <f t="array" ref="A24">XLOOKUP(B24, city_to_region!$B$5:$B$96, city_to_region!$A$5:$A$96)</f>
        <v>Костанайская</v>
      </c>
      <c r="B24" s="21" t="s">
        <v>2846</v>
      </c>
      <c r="C24" s="9">
        <v>1.03</v>
      </c>
      <c r="D24" s="35">
        <v>2024.0</v>
      </c>
    </row>
    <row r="25" ht="15.75" customHeight="1">
      <c r="A25" s="32" t="str">
        <f t="array" ref="A25">XLOOKUP(B25, city_to_region!$B$5:$B$96, city_to_region!$A$5:$A$96)</f>
        <v>Северо-Казахстанская</v>
      </c>
      <c r="B25" s="21" t="s">
        <v>2803</v>
      </c>
      <c r="C25" s="9">
        <v>1.01</v>
      </c>
      <c r="D25" s="35">
        <v>2024.0</v>
      </c>
    </row>
    <row r="26" ht="15.75" customHeight="1">
      <c r="A26" s="32" t="str">
        <f t="array" ref="A26">XLOOKUP(B26, city_to_region!$B$5:$B$96, city_to_region!$A$5:$A$96)</f>
        <v>Костанайская</v>
      </c>
      <c r="B26" s="21" t="s">
        <v>2827</v>
      </c>
      <c r="C26" s="9">
        <v>1.37</v>
      </c>
      <c r="D26" s="35">
        <v>2024.0</v>
      </c>
    </row>
    <row r="27" ht="15.75" customHeight="1">
      <c r="A27" s="32" t="str">
        <f t="array" ref="A27">XLOOKUP(B27, city_to_region!$B$5:$B$96, city_to_region!$A$5:$A$96)</f>
        <v>Костанайская</v>
      </c>
      <c r="B27" s="21" t="s">
        <v>2846</v>
      </c>
      <c r="C27" s="9">
        <v>1.05</v>
      </c>
      <c r="D27" s="35">
        <v>2024.0</v>
      </c>
    </row>
    <row r="28" ht="15.75" customHeight="1">
      <c r="A28" s="32" t="str">
        <f t="array" ref="A28">XLOOKUP(B28, city_to_region!$B$5:$B$96, city_to_region!$A$5:$A$96)</f>
        <v>Костанайская</v>
      </c>
      <c r="B28" s="21" t="s">
        <v>2830</v>
      </c>
      <c r="C28" s="9">
        <v>1.03</v>
      </c>
      <c r="D28" s="35">
        <v>2024.0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4" width="12.63"/>
    <col customWidth="1" min="5" max="5" width="20.0"/>
    <col customWidth="1" min="6" max="6" width="12.63"/>
    <col customWidth="1" min="9" max="9" width="18.13"/>
  </cols>
  <sheetData>
    <row r="1" ht="15.75" customHeight="1">
      <c r="A1" s="21" t="s">
        <v>1</v>
      </c>
      <c r="B1" s="21" t="s">
        <v>3666</v>
      </c>
      <c r="E1" s="26" t="s">
        <v>1</v>
      </c>
      <c r="F1" s="26" t="s">
        <v>3667</v>
      </c>
    </row>
    <row r="2" ht="15.75" customHeight="1">
      <c r="A2" s="21" t="s">
        <v>2770</v>
      </c>
      <c r="B2" s="21">
        <v>18.3</v>
      </c>
      <c r="E2" s="21" t="s">
        <v>2860</v>
      </c>
      <c r="F2" s="21">
        <v>40.7</v>
      </c>
    </row>
    <row r="3" ht="15.75" customHeight="1">
      <c r="A3" s="21" t="s">
        <v>2769</v>
      </c>
      <c r="B3" s="21">
        <v>12.959999999999999</v>
      </c>
      <c r="E3" s="21" t="s">
        <v>2770</v>
      </c>
      <c r="F3" s="21">
        <v>18.3</v>
      </c>
    </row>
    <row r="4" ht="15.75" customHeight="1">
      <c r="A4" s="21" t="s">
        <v>2860</v>
      </c>
      <c r="B4" s="21">
        <v>6.96</v>
      </c>
      <c r="E4" s="21" t="s">
        <v>2769</v>
      </c>
      <c r="F4" s="21">
        <v>17.9</v>
      </c>
    </row>
    <row r="5" ht="15.75" customHeight="1">
      <c r="A5" s="21" t="s">
        <v>2869</v>
      </c>
      <c r="B5" s="21">
        <v>3.455</v>
      </c>
      <c r="E5" s="21" t="s">
        <v>2865</v>
      </c>
      <c r="F5" s="21">
        <v>15.5</v>
      </c>
    </row>
    <row r="6" ht="15.75" customHeight="1">
      <c r="A6" s="21" t="s">
        <v>2865</v>
      </c>
      <c r="B6" s="21">
        <v>2.63</v>
      </c>
      <c r="E6" s="21" t="s">
        <v>2869</v>
      </c>
      <c r="F6" s="21">
        <v>5.75</v>
      </c>
    </row>
    <row r="7" ht="15.75" customHeight="1">
      <c r="A7" s="21" t="s">
        <v>2798</v>
      </c>
      <c r="B7" s="21">
        <v>2.4</v>
      </c>
      <c r="E7" s="21" t="s">
        <v>2798</v>
      </c>
      <c r="F7" s="21">
        <v>2.4</v>
      </c>
    </row>
    <row r="8" ht="15.75" customHeight="1">
      <c r="A8" s="21" t="s">
        <v>2871</v>
      </c>
      <c r="B8" s="21">
        <v>2.23</v>
      </c>
      <c r="E8" s="21" t="s">
        <v>2871</v>
      </c>
      <c r="F8" s="21">
        <v>2.23</v>
      </c>
    </row>
    <row r="9" ht="15.75" customHeight="1">
      <c r="A9" s="21" t="s">
        <v>2859</v>
      </c>
      <c r="B9" s="21">
        <v>1.6749999999999998</v>
      </c>
      <c r="E9" s="21" t="s">
        <v>2859</v>
      </c>
      <c r="F9" s="21">
        <v>1.95</v>
      </c>
    </row>
    <row r="10" ht="15.75" customHeight="1">
      <c r="A10" s="21" t="s">
        <v>2873</v>
      </c>
      <c r="B10" s="21">
        <v>1.35</v>
      </c>
      <c r="E10" s="21" t="s">
        <v>2873</v>
      </c>
      <c r="F10" s="21">
        <v>1.5</v>
      </c>
    </row>
    <row r="11" ht="15.75" customHeight="1">
      <c r="A11" s="21" t="s">
        <v>2866</v>
      </c>
      <c r="B11" s="21">
        <v>1.25</v>
      </c>
      <c r="E11" s="21" t="s">
        <v>2866</v>
      </c>
      <c r="F11" s="21">
        <v>1.4</v>
      </c>
    </row>
    <row r="12" ht="15.75" customHeight="1">
      <c r="A12" s="21" t="s">
        <v>2594</v>
      </c>
      <c r="B12" s="21">
        <v>1.14</v>
      </c>
      <c r="E12" s="21" t="s">
        <v>2868</v>
      </c>
      <c r="F12" s="21">
        <v>1.37</v>
      </c>
    </row>
    <row r="13" ht="15.75" customHeight="1">
      <c r="A13" s="21" t="s">
        <v>2868</v>
      </c>
      <c r="B13" s="21">
        <v>1.05</v>
      </c>
      <c r="E13" s="21" t="s">
        <v>2594</v>
      </c>
      <c r="F13" s="21">
        <v>1.14</v>
      </c>
    </row>
    <row r="14" ht="15.75" customHeight="1">
      <c r="A14" s="21" t="s">
        <v>2858</v>
      </c>
      <c r="B14" s="21">
        <v>1.01</v>
      </c>
      <c r="E14" s="21" t="s">
        <v>2858</v>
      </c>
      <c r="F14" s="21">
        <v>1.01</v>
      </c>
    </row>
    <row r="15" ht="15.75" customHeight="1"/>
    <row r="16" ht="15.75" customHeight="1">
      <c r="A16" s="21" t="s">
        <v>3668</v>
      </c>
    </row>
    <row r="17" ht="15.75" customHeight="1">
      <c r="A17" s="21" t="s">
        <v>3670</v>
      </c>
    </row>
    <row r="18" ht="15.75" customHeight="1">
      <c r="A18" s="21" t="s">
        <v>3671</v>
      </c>
    </row>
    <row r="19" ht="15.75" customHeight="1">
      <c r="A19" s="21" t="s">
        <v>3672</v>
      </c>
    </row>
    <row r="20" ht="15.75" customHeight="1">
      <c r="A20" s="21" t="s">
        <v>3673</v>
      </c>
    </row>
    <row r="21" ht="15.75" customHeight="1">
      <c r="I21" s="28" t="s">
        <v>3674</v>
      </c>
    </row>
    <row r="22" ht="15.75" customHeight="1">
      <c r="I22" s="28" t="s">
        <v>3675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">
    <cfRule type="colorScale" priority="1">
      <colorScale>
        <cfvo type="min"/>
        <cfvo type="max"/>
        <color rgb="FFFFFFFF"/>
        <color rgb="FFE67C73"/>
      </colorScale>
    </cfRule>
  </conditionalFormatting>
  <conditionalFormatting sqref="F1:F1000">
    <cfRule type="colorScale" priority="2">
      <colorScale>
        <cfvo type="min"/>
        <cfvo type="max"/>
        <color rgb="FFFFFFFF"/>
        <color rgb="FFE67C73"/>
      </colorScale>
    </cfRule>
  </conditionalFormatting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6.13"/>
    <col customWidth="1" min="3" max="3" width="29.88"/>
    <col customWidth="1" min="4" max="6" width="12.63"/>
  </cols>
  <sheetData>
    <row r="1" ht="15.75" customHeight="1">
      <c r="A1" s="23"/>
      <c r="B1" s="1" t="s">
        <v>3676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3"/>
      <c r="B2" s="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3" t="s">
        <v>2775</v>
      </c>
      <c r="B3" s="1" t="s">
        <v>2776</v>
      </c>
      <c r="C3" s="24" t="s">
        <v>2777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3">
        <v>1.0</v>
      </c>
      <c r="B4" s="1" t="s">
        <v>1</v>
      </c>
      <c r="C4" s="21" t="s">
        <v>2779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3">
        <v>2.0</v>
      </c>
      <c r="B5" s="1" t="s">
        <v>2</v>
      </c>
      <c r="C5" s="21" t="s">
        <v>3677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3">
        <v>3.0</v>
      </c>
      <c r="B6" s="24" t="s">
        <v>2880</v>
      </c>
      <c r="C6" s="5" t="s">
        <v>3678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3">
        <v>4.0</v>
      </c>
      <c r="B7" s="24" t="s">
        <v>2881</v>
      </c>
      <c r="C7" s="21" t="s">
        <v>3679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3">
        <v>5.0</v>
      </c>
      <c r="B8" s="24" t="s">
        <v>4</v>
      </c>
      <c r="C8" s="21" t="s">
        <v>3680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3">
        <v>6.0</v>
      </c>
      <c r="B9" s="24" t="s">
        <v>2882</v>
      </c>
      <c r="C9" s="21" t="s">
        <v>3681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3">
        <v>7.0</v>
      </c>
      <c r="B10" s="24" t="s">
        <v>2883</v>
      </c>
      <c r="C10" s="21" t="s">
        <v>3682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3">
        <v>8.0</v>
      </c>
      <c r="B11" s="24" t="s">
        <v>2884</v>
      </c>
      <c r="C11" s="21" t="s">
        <v>3683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3">
        <v>9.0</v>
      </c>
      <c r="B12" s="24" t="s">
        <v>2885</v>
      </c>
      <c r="C12" s="21" t="s">
        <v>3684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3">
        <v>10.0</v>
      </c>
      <c r="B13" s="24" t="s">
        <v>13</v>
      </c>
      <c r="C13" s="21" t="s">
        <v>2791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4"/>
      <c r="B14" s="24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4"/>
      <c r="B15" s="24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4"/>
      <c r="B16" s="24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4"/>
      <c r="B17" s="24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4"/>
      <c r="B18" s="24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4"/>
      <c r="B19" s="24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4"/>
      <c r="B20" s="24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4"/>
      <c r="B21" s="24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4"/>
      <c r="B22" s="24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4"/>
      <c r="B23" s="2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4"/>
      <c r="B24" s="24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4"/>
      <c r="B25" s="24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4"/>
      <c r="B26" s="2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4"/>
      <c r="B27" s="24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4"/>
      <c r="B28" s="24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4"/>
      <c r="B29" s="24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4"/>
      <c r="B30" s="2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4"/>
      <c r="B31" s="24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4"/>
      <c r="B32" s="24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4"/>
      <c r="B33" s="24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4"/>
      <c r="B34" s="24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4"/>
      <c r="B35" s="24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4"/>
      <c r="B36" s="24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4"/>
      <c r="B37" s="24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4"/>
      <c r="B38" s="24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4"/>
      <c r="B39" s="2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4"/>
      <c r="B40" s="24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4"/>
      <c r="B41" s="2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4"/>
      <c r="B42" s="24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4"/>
      <c r="B43" s="24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4"/>
      <c r="B44" s="24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4"/>
      <c r="B45" s="24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4"/>
      <c r="B46" s="24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4"/>
      <c r="B47" s="24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4"/>
      <c r="B48" s="2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4"/>
      <c r="B49" s="24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4"/>
      <c r="B50" s="24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4"/>
      <c r="B51" s="2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4"/>
      <c r="B52" s="24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4"/>
      <c r="B53" s="2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4"/>
      <c r="B54" s="24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4"/>
      <c r="B55" s="2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4"/>
      <c r="B56" s="24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4"/>
      <c r="B57" s="24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4"/>
      <c r="B58" s="24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4"/>
      <c r="B59" s="24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4"/>
      <c r="B60" s="24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4"/>
      <c r="B61" s="24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4"/>
      <c r="B62" s="24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4"/>
      <c r="B63" s="24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4"/>
      <c r="B64" s="24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4"/>
      <c r="B65" s="24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4"/>
      <c r="B66" s="24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4"/>
      <c r="B67" s="24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4"/>
      <c r="B68" s="24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4"/>
      <c r="B69" s="24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4"/>
      <c r="B70" s="24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4"/>
      <c r="B71" s="24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4"/>
      <c r="B72" s="24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4"/>
      <c r="B73" s="24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4"/>
      <c r="B74" s="24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4"/>
      <c r="B75" s="24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4"/>
      <c r="B76" s="24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4"/>
      <c r="B77" s="24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4"/>
      <c r="B78" s="24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4"/>
      <c r="B79" s="24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4"/>
      <c r="B80" s="24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4"/>
      <c r="B81" s="2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4"/>
      <c r="B82" s="24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4"/>
      <c r="B83" s="2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4"/>
      <c r="B84" s="2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4"/>
      <c r="B85" s="24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4"/>
      <c r="B86" s="24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4"/>
      <c r="B87" s="24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4"/>
      <c r="B88" s="24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4"/>
      <c r="B89" s="24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4"/>
      <c r="B90" s="24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4"/>
      <c r="B91" s="24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4"/>
      <c r="B92" s="24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4"/>
      <c r="B93" s="24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4"/>
      <c r="B94" s="24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4"/>
      <c r="B95" s="24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4"/>
      <c r="B96" s="24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4"/>
      <c r="B97" s="24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4"/>
      <c r="B98" s="24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4"/>
      <c r="B99" s="24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4"/>
      <c r="B100" s="24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4"/>
      <c r="B101" s="24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4"/>
      <c r="B102" s="24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4"/>
      <c r="B103" s="24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4"/>
      <c r="B104" s="24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4"/>
      <c r="B105" s="24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4"/>
      <c r="B106" s="24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4"/>
      <c r="B107" s="24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4"/>
      <c r="B108" s="24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4"/>
      <c r="B109" s="24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4"/>
      <c r="B110" s="24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4"/>
      <c r="B111" s="24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4"/>
      <c r="B112" s="24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4"/>
      <c r="B113" s="24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4"/>
      <c r="B114" s="24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4"/>
      <c r="B115" s="24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4"/>
      <c r="B116" s="24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4"/>
      <c r="B117" s="24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4"/>
      <c r="B118" s="24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4"/>
      <c r="B119" s="24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4"/>
      <c r="B120" s="24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4"/>
      <c r="B121" s="24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4"/>
      <c r="B122" s="24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4"/>
      <c r="B123" s="24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4"/>
      <c r="B124" s="24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4"/>
      <c r="B125" s="24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4"/>
      <c r="B126" s="24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4"/>
      <c r="B127" s="24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4"/>
      <c r="B128" s="24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4"/>
      <c r="B129" s="24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4"/>
      <c r="B130" s="24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4"/>
      <c r="B131" s="24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4"/>
      <c r="B132" s="24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4"/>
      <c r="B133" s="24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4"/>
      <c r="B134" s="24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4"/>
      <c r="B135" s="24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4"/>
      <c r="B136" s="24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4"/>
      <c r="B137" s="24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4"/>
      <c r="B138" s="24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4"/>
      <c r="B139" s="24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4"/>
      <c r="B140" s="24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4"/>
      <c r="B141" s="24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4"/>
      <c r="B142" s="24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4"/>
      <c r="B143" s="24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4"/>
      <c r="B144" s="24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4"/>
      <c r="B145" s="24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4"/>
      <c r="B146" s="24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4"/>
      <c r="B147" s="24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4"/>
      <c r="B148" s="24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4"/>
      <c r="B149" s="24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4"/>
      <c r="B150" s="24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4"/>
      <c r="B151" s="24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4"/>
      <c r="B152" s="24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4"/>
      <c r="B153" s="24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4"/>
      <c r="B154" s="24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4"/>
      <c r="B155" s="24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4"/>
      <c r="B156" s="24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4"/>
      <c r="B157" s="24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4"/>
      <c r="B158" s="24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4"/>
      <c r="B159" s="24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4"/>
      <c r="B160" s="24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4"/>
      <c r="B161" s="24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4"/>
      <c r="B162" s="24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4"/>
      <c r="B163" s="24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4"/>
      <c r="B164" s="24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4"/>
      <c r="B165" s="24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4"/>
      <c r="B166" s="24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4"/>
      <c r="B167" s="2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4"/>
      <c r="B168" s="24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4"/>
      <c r="B169" s="24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4"/>
      <c r="B170" s="24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4"/>
      <c r="B171" s="24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4"/>
      <c r="B172" s="24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4"/>
      <c r="B173" s="24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4"/>
      <c r="B174" s="24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4"/>
      <c r="B175" s="24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4"/>
      <c r="B176" s="24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4"/>
      <c r="B177" s="24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4"/>
      <c r="B178" s="24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4"/>
      <c r="B179" s="24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4"/>
      <c r="B180" s="24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4"/>
      <c r="B181" s="24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4"/>
      <c r="B182" s="24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4"/>
      <c r="B183" s="24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4"/>
      <c r="B184" s="24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4"/>
      <c r="B185" s="24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4"/>
      <c r="B186" s="24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4"/>
      <c r="B187" s="24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4"/>
      <c r="B188" s="24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4"/>
      <c r="B189" s="24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4"/>
      <c r="B190" s="24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4"/>
      <c r="B191" s="24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4"/>
      <c r="B192" s="24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4"/>
      <c r="B193" s="24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4"/>
      <c r="B194" s="24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4"/>
      <c r="B195" s="24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4"/>
      <c r="B196" s="24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4"/>
      <c r="B197" s="2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4"/>
      <c r="B198" s="24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4"/>
      <c r="B199" s="2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4"/>
      <c r="B200" s="24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4"/>
      <c r="B201" s="24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4"/>
      <c r="B202" s="24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4"/>
      <c r="B203" s="24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4"/>
      <c r="B204" s="24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4"/>
      <c r="B205" s="24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4"/>
      <c r="B206" s="24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4"/>
      <c r="B207" s="24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4"/>
      <c r="B208" s="24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4"/>
      <c r="B209" s="24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4"/>
      <c r="B210" s="24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4"/>
      <c r="B211" s="24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4"/>
      <c r="B212" s="24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4"/>
      <c r="B213" s="24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4"/>
      <c r="B214" s="24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4"/>
      <c r="B215" s="24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4"/>
      <c r="B216" s="24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4"/>
      <c r="B217" s="24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4"/>
      <c r="B218" s="24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4"/>
      <c r="B219" s="24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4"/>
      <c r="B220" s="24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6.13"/>
    <col customWidth="1" min="3" max="6" width="12.63"/>
  </cols>
  <sheetData>
    <row r="1" ht="15.75" customHeight="1">
      <c r="A1" s="23"/>
      <c r="B1" s="40" t="s">
        <v>3685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23"/>
      <c r="B2" s="4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3" t="s">
        <v>2775</v>
      </c>
      <c r="B3" s="1" t="s">
        <v>2776</v>
      </c>
      <c r="C3" s="24" t="s">
        <v>2777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3">
        <v>1.0</v>
      </c>
      <c r="B4" s="40" t="s">
        <v>1</v>
      </c>
      <c r="C4" s="11" t="s">
        <v>2779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23">
        <v>2.0</v>
      </c>
      <c r="B5" s="40" t="s">
        <v>2</v>
      </c>
      <c r="C5" s="11" t="s">
        <v>3677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3">
        <v>3.0</v>
      </c>
      <c r="B6" s="40" t="s">
        <v>3661</v>
      </c>
      <c r="C6" s="11" t="s">
        <v>3686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23">
        <v>4.0</v>
      </c>
      <c r="B7" s="41" t="s">
        <v>13</v>
      </c>
      <c r="C7" s="11" t="s">
        <v>2791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3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3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3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3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3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3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3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3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3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3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3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3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3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3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3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3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3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3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3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3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3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3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3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3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3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3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3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3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3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3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3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3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3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3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3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3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3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3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3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3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3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3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3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3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3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3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3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3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3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3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3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3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3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3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3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3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3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3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3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3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3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3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3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3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3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3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3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3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3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3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3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3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3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3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3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3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3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3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3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3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3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3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3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3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3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3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3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3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3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3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3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3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3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3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3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3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3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3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3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3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3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3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3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3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3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3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3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3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3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3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3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3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3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3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3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3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3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3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3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3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3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3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3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3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3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3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3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3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3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3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3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3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3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3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3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3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3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3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3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3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3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3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3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3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3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3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3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3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3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3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3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3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3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3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3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3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3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3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3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3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3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3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3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3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3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3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3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3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3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3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3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3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3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3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3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3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3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3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3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3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3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3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3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3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3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3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3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3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3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3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3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3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3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3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3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3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3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3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3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3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3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3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3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3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3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3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3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3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3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3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2.75"/>
    <col customWidth="1" min="3" max="3" width="26.88"/>
    <col customWidth="1" min="4" max="6" width="12.63"/>
  </cols>
  <sheetData>
    <row r="1" ht="15.75" customHeight="1">
      <c r="A1" s="26" t="s">
        <v>1</v>
      </c>
      <c r="B1" s="26" t="s">
        <v>3687</v>
      </c>
      <c r="C1" s="26" t="s">
        <v>3688</v>
      </c>
      <c r="D1" s="26" t="s">
        <v>13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ht="15.75" customHeight="1">
      <c r="A2" s="21" t="s">
        <v>2871</v>
      </c>
      <c r="B2" s="42">
        <v>220.9</v>
      </c>
      <c r="C2" s="43">
        <v>302.4</v>
      </c>
      <c r="D2" s="21">
        <v>2024.0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15.75" customHeight="1">
      <c r="A3" s="21" t="s">
        <v>2862</v>
      </c>
      <c r="B3" s="42">
        <v>306.2</v>
      </c>
      <c r="C3" s="43">
        <v>217.8</v>
      </c>
      <c r="D3" s="21">
        <v>2024.0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15.75" customHeight="1">
      <c r="A4" s="21" t="s">
        <v>2768</v>
      </c>
      <c r="B4" s="42">
        <v>273.3</v>
      </c>
      <c r="C4" s="43">
        <v>168.8</v>
      </c>
      <c r="D4" s="21">
        <v>2024.0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ht="15.75" customHeight="1">
      <c r="A5" s="21" t="s">
        <v>2867</v>
      </c>
      <c r="B5" s="42">
        <v>146.1</v>
      </c>
      <c r="C5" s="43">
        <v>110.2</v>
      </c>
      <c r="D5" s="21">
        <v>2024.0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ht="15.75" customHeight="1">
      <c r="A6" s="21" t="s">
        <v>2767</v>
      </c>
      <c r="B6" s="42">
        <v>163.7</v>
      </c>
      <c r="C6" s="43">
        <v>157.3</v>
      </c>
      <c r="D6" s="21">
        <v>2024.0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ht="15.75" customHeight="1">
      <c r="A7" s="21" t="s">
        <v>2870</v>
      </c>
      <c r="B7" s="42">
        <v>222.0</v>
      </c>
      <c r="C7" s="43">
        <v>244.2</v>
      </c>
      <c r="D7" s="21">
        <v>2024.0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ht="15.75" customHeight="1">
      <c r="A8" s="21" t="s">
        <v>2859</v>
      </c>
      <c r="B8" s="42">
        <v>110.0</v>
      </c>
      <c r="C8" s="43">
        <v>167.9</v>
      </c>
      <c r="D8" s="21">
        <v>2024.0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ht="15.75" customHeight="1">
      <c r="A9" s="21" t="s">
        <v>2865</v>
      </c>
      <c r="B9" s="42">
        <v>209.7</v>
      </c>
      <c r="C9" s="43">
        <v>175.4</v>
      </c>
      <c r="D9" s="21">
        <v>2024.0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ht="15.75" customHeight="1">
      <c r="A10" s="21" t="s">
        <v>2769</v>
      </c>
      <c r="B10" s="42">
        <v>233.3</v>
      </c>
      <c r="C10" s="43">
        <v>353.5</v>
      </c>
      <c r="D10" s="21">
        <v>2024.0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ht="15.75" customHeight="1">
      <c r="A11" s="21" t="s">
        <v>2868</v>
      </c>
      <c r="B11" s="42">
        <v>258.8</v>
      </c>
      <c r="C11" s="43">
        <v>352.7</v>
      </c>
      <c r="D11" s="21">
        <v>2024.0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ht="15.75" customHeight="1">
      <c r="A12" s="21" t="s">
        <v>2869</v>
      </c>
      <c r="B12" s="42">
        <v>68.2</v>
      </c>
      <c r="C12" s="43">
        <v>271.2</v>
      </c>
      <c r="D12" s="21">
        <v>2024.0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ht="15.75" customHeight="1">
      <c r="A13" s="21" t="s">
        <v>2863</v>
      </c>
      <c r="B13" s="42">
        <v>87.3</v>
      </c>
      <c r="C13" s="43">
        <v>181.9</v>
      </c>
      <c r="D13" s="21">
        <v>2024.0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ht="15.75" customHeight="1">
      <c r="A14" s="21" t="s">
        <v>2866</v>
      </c>
      <c r="B14" s="42">
        <v>244.6</v>
      </c>
      <c r="C14" s="43">
        <v>351.6</v>
      </c>
      <c r="D14" s="21">
        <v>2024.0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ht="15.75" customHeight="1">
      <c r="A15" s="21" t="s">
        <v>2858</v>
      </c>
      <c r="B15" s="44">
        <v>330.0</v>
      </c>
      <c r="C15" s="45">
        <v>364.0</v>
      </c>
      <c r="D15" s="21">
        <v>2024.0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ht="15.75" customHeight="1">
      <c r="A16" s="21" t="s">
        <v>2873</v>
      </c>
      <c r="B16" s="42">
        <v>0.0</v>
      </c>
      <c r="C16" s="43">
        <v>401.1</v>
      </c>
      <c r="D16" s="21">
        <v>2024.0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ht="15.75" customHeight="1">
      <c r="A17" s="21" t="s">
        <v>2770</v>
      </c>
      <c r="B17" s="42">
        <v>139.4</v>
      </c>
      <c r="C17" s="43">
        <v>204.4</v>
      </c>
      <c r="D17" s="21">
        <v>2024.0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ht="15.75" customHeight="1">
      <c r="A18" s="21" t="s">
        <v>2860</v>
      </c>
      <c r="B18" s="42">
        <v>355.2</v>
      </c>
      <c r="C18" s="43">
        <v>349.4</v>
      </c>
      <c r="D18" s="21">
        <v>2024.0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ht="15.75" customHeight="1">
      <c r="A19" s="21" t="s">
        <v>16</v>
      </c>
      <c r="B19" s="42">
        <v>0.0</v>
      </c>
      <c r="C19" s="43">
        <v>201.1</v>
      </c>
      <c r="D19" s="21">
        <v>2024.0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ht="15.75" customHeight="1">
      <c r="A20" s="21" t="s">
        <v>2798</v>
      </c>
      <c r="B20" s="42">
        <v>0.0</v>
      </c>
      <c r="C20" s="43">
        <v>230.4</v>
      </c>
      <c r="D20" s="21">
        <v>2024.0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ht="15.75" customHeight="1">
      <c r="A21" s="21" t="s">
        <v>2594</v>
      </c>
      <c r="B21" s="42">
        <v>0.0</v>
      </c>
      <c r="C21" s="43">
        <v>122.3</v>
      </c>
      <c r="D21" s="21">
        <v>2024.0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13"/>
    <col customWidth="1" min="2" max="2" width="16.63"/>
    <col customWidth="1" min="3" max="4" width="12.63"/>
    <col customWidth="1" min="5" max="5" width="20.0"/>
    <col customWidth="1" min="6" max="6" width="16.5"/>
  </cols>
  <sheetData>
    <row r="1" ht="15.75" customHeight="1">
      <c r="A1" s="21" t="s">
        <v>1</v>
      </c>
      <c r="B1" s="21" t="s">
        <v>3689</v>
      </c>
    </row>
    <row r="2" ht="15.75" customHeight="1">
      <c r="A2" s="21" t="s">
        <v>2860</v>
      </c>
      <c r="B2" s="46">
        <v>355.2</v>
      </c>
    </row>
    <row r="3" ht="15.75" customHeight="1">
      <c r="A3" s="21" t="s">
        <v>2858</v>
      </c>
      <c r="B3" s="48">
        <v>330.0</v>
      </c>
    </row>
    <row r="4" ht="15.75" customHeight="1">
      <c r="A4" s="21" t="s">
        <v>2862</v>
      </c>
      <c r="B4" s="46">
        <v>306.2</v>
      </c>
    </row>
    <row r="5" ht="15.75" customHeight="1">
      <c r="A5" s="21" t="s">
        <v>2768</v>
      </c>
      <c r="B5" s="46">
        <v>273.3</v>
      </c>
    </row>
    <row r="6" ht="15.75" customHeight="1">
      <c r="A6" s="21" t="s">
        <v>2868</v>
      </c>
      <c r="B6" s="46">
        <v>258.8</v>
      </c>
    </row>
    <row r="7" ht="15.75" customHeight="1">
      <c r="A7" s="21" t="s">
        <v>2866</v>
      </c>
      <c r="B7" s="46">
        <v>244.6</v>
      </c>
    </row>
    <row r="8" ht="15.75" customHeight="1">
      <c r="A8" s="21" t="s">
        <v>2769</v>
      </c>
      <c r="B8" s="46">
        <v>233.3</v>
      </c>
    </row>
    <row r="9" ht="15.75" customHeight="1">
      <c r="A9" s="21" t="s">
        <v>2870</v>
      </c>
      <c r="B9" s="46">
        <v>222.0</v>
      </c>
    </row>
    <row r="10" ht="15.75" customHeight="1">
      <c r="A10" s="21" t="s">
        <v>2871</v>
      </c>
      <c r="B10" s="46">
        <v>220.9</v>
      </c>
    </row>
    <row r="11" ht="15.75" customHeight="1">
      <c r="A11" s="21" t="s">
        <v>2865</v>
      </c>
      <c r="B11" s="46">
        <v>209.7</v>
      </c>
    </row>
    <row r="12" ht="15.75" customHeight="1">
      <c r="A12" s="21" t="s">
        <v>2767</v>
      </c>
      <c r="B12" s="46">
        <v>163.7</v>
      </c>
    </row>
    <row r="13" ht="15.75" customHeight="1">
      <c r="A13" s="21" t="s">
        <v>2867</v>
      </c>
      <c r="B13" s="46">
        <v>146.1</v>
      </c>
    </row>
    <row r="14" ht="15.75" customHeight="1">
      <c r="A14" s="21" t="s">
        <v>2770</v>
      </c>
      <c r="B14" s="46">
        <v>139.4</v>
      </c>
    </row>
    <row r="15" ht="15.75" customHeight="1">
      <c r="A15" s="21" t="s">
        <v>2859</v>
      </c>
      <c r="B15" s="46">
        <v>110.0</v>
      </c>
    </row>
    <row r="16" ht="15.75" customHeight="1">
      <c r="A16" s="21" t="s">
        <v>2863</v>
      </c>
      <c r="B16" s="46">
        <v>87.3</v>
      </c>
    </row>
    <row r="17" ht="15.75" customHeight="1">
      <c r="A17" s="21" t="s">
        <v>2869</v>
      </c>
      <c r="B17" s="46">
        <v>68.2</v>
      </c>
    </row>
    <row r="18" ht="15.75" customHeight="1"/>
    <row r="19" ht="15.75" customHeight="1">
      <c r="A19" s="28" t="s">
        <v>3691</v>
      </c>
    </row>
    <row r="20" ht="15.75" customHeight="1"/>
    <row r="21" ht="15.75" customHeight="1"/>
    <row r="22" ht="15.75" customHeight="1"/>
    <row r="23" ht="15.75" customHeight="1">
      <c r="E23" s="28" t="s">
        <v>3692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B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1:F1000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33.88"/>
    <col customWidth="1" min="3" max="6" width="12.63"/>
  </cols>
  <sheetData>
    <row r="1" ht="54.0" customHeight="1">
      <c r="A1" s="26"/>
      <c r="B1" s="29" t="s">
        <v>3693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6"/>
      <c r="B2" s="26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3" t="s">
        <v>2775</v>
      </c>
      <c r="B3" s="1" t="s">
        <v>2776</v>
      </c>
      <c r="C3" s="24" t="s">
        <v>2777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6">
        <v>1.0</v>
      </c>
      <c r="B4" s="26" t="s">
        <v>1</v>
      </c>
      <c r="C4" s="21" t="s">
        <v>3694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6">
        <v>2.0</v>
      </c>
      <c r="B5" s="26" t="s">
        <v>3687</v>
      </c>
      <c r="C5" s="21" t="s">
        <v>3695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6">
        <v>3.0</v>
      </c>
      <c r="B6" s="26" t="s">
        <v>3688</v>
      </c>
      <c r="C6" s="21" t="s">
        <v>3696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6">
        <v>4.0</v>
      </c>
      <c r="B7" s="26" t="s">
        <v>13</v>
      </c>
      <c r="C7" s="21" t="s">
        <v>2791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6" width="12.63"/>
  </cols>
  <sheetData>
    <row r="1" ht="15.75" customHeight="1">
      <c r="A1" s="24" t="s">
        <v>3697</v>
      </c>
      <c r="B1" s="24" t="s">
        <v>3698</v>
      </c>
      <c r="C1" s="24" t="s">
        <v>3699</v>
      </c>
      <c r="D1" s="24" t="s">
        <v>3700</v>
      </c>
      <c r="E1" s="24" t="s">
        <v>13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11" t="s">
        <v>3701</v>
      </c>
      <c r="B2" s="50">
        <v>111.0</v>
      </c>
      <c r="C2" s="51">
        <v>99.1</v>
      </c>
      <c r="D2" s="51">
        <v>0.9</v>
      </c>
      <c r="E2" s="11">
        <v>2024.0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1" t="s">
        <v>3702</v>
      </c>
      <c r="B3" s="52">
        <v>1150.0</v>
      </c>
      <c r="C3" s="51">
        <v>92.6</v>
      </c>
      <c r="D3" s="51">
        <v>7.4</v>
      </c>
      <c r="E3" s="11">
        <v>2024.0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3703</v>
      </c>
      <c r="B4" s="52">
        <v>2843.0</v>
      </c>
      <c r="C4" s="51">
        <v>82.7</v>
      </c>
      <c r="D4" s="51">
        <v>17.2</v>
      </c>
      <c r="E4" s="11">
        <v>2024.0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 t="s">
        <v>3704</v>
      </c>
      <c r="B5" s="52">
        <v>1781.0</v>
      </c>
      <c r="C5" s="51">
        <v>88.8</v>
      </c>
      <c r="D5" s="51">
        <v>11.2</v>
      </c>
      <c r="E5" s="11">
        <v>2024.0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 t="s">
        <v>3705</v>
      </c>
      <c r="B6" s="50">
        <v>370.0</v>
      </c>
      <c r="C6" s="51">
        <v>88.9</v>
      </c>
      <c r="D6" s="51">
        <v>11.1</v>
      </c>
      <c r="E6" s="11">
        <v>2024.0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 t="s">
        <v>3706</v>
      </c>
      <c r="B7" s="52">
        <v>3707.0</v>
      </c>
      <c r="C7" s="51">
        <v>73.5</v>
      </c>
      <c r="D7" s="51">
        <v>26.5</v>
      </c>
      <c r="E7" s="11">
        <v>2024.0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 t="s">
        <v>3707</v>
      </c>
      <c r="B8" s="52">
        <v>3862.0</v>
      </c>
      <c r="C8" s="51">
        <v>99.5</v>
      </c>
      <c r="D8" s="51">
        <v>0.3</v>
      </c>
      <c r="E8" s="11">
        <v>2024.0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 t="s">
        <v>3708</v>
      </c>
      <c r="B9" s="52">
        <v>5577.0</v>
      </c>
      <c r="C9" s="51">
        <v>95.7</v>
      </c>
      <c r="D9" s="51">
        <v>4.2</v>
      </c>
      <c r="E9" s="11">
        <v>2024.0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 t="s">
        <v>3709</v>
      </c>
      <c r="B10" s="52">
        <v>1897.0</v>
      </c>
      <c r="C10" s="51">
        <v>96.8</v>
      </c>
      <c r="D10" s="51">
        <v>3.2</v>
      </c>
      <c r="E10" s="11">
        <v>2024.0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 t="s">
        <v>3710</v>
      </c>
      <c r="B11" s="52">
        <v>1029.0</v>
      </c>
      <c r="C11" s="51">
        <v>50.9</v>
      </c>
      <c r="D11" s="50">
        <v>8.0</v>
      </c>
      <c r="E11" s="11">
        <v>2024.0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9.63"/>
    <col customWidth="1" min="2" max="2" width="16.88"/>
    <col customWidth="1" min="3" max="3" width="15.63"/>
    <col customWidth="1" min="4" max="6" width="12.63"/>
  </cols>
  <sheetData>
    <row r="1" ht="15.75" customHeight="1">
      <c r="A1" s="21" t="s">
        <v>3697</v>
      </c>
      <c r="B1" s="21" t="s">
        <v>3711</v>
      </c>
      <c r="C1" s="21" t="s">
        <v>3712</v>
      </c>
    </row>
    <row r="2" ht="15.75" customHeight="1">
      <c r="A2" s="21" t="s">
        <v>3707</v>
      </c>
      <c r="B2" s="46">
        <v>99.5</v>
      </c>
      <c r="C2" s="46">
        <v>0.3</v>
      </c>
    </row>
    <row r="3" ht="15.75" customHeight="1">
      <c r="A3" s="21" t="s">
        <v>3701</v>
      </c>
      <c r="B3" s="46">
        <v>99.1</v>
      </c>
      <c r="C3" s="46">
        <v>0.9</v>
      </c>
    </row>
    <row r="4" ht="15.75" customHeight="1">
      <c r="A4" s="21" t="s">
        <v>3709</v>
      </c>
      <c r="B4" s="46">
        <v>96.8</v>
      </c>
      <c r="C4" s="46">
        <v>3.2</v>
      </c>
    </row>
    <row r="5" ht="15.75" customHeight="1">
      <c r="A5" s="21" t="s">
        <v>3708</v>
      </c>
      <c r="B5" s="46">
        <v>95.7</v>
      </c>
      <c r="C5" s="46">
        <v>4.2</v>
      </c>
    </row>
    <row r="6" ht="15.75" customHeight="1">
      <c r="A6" s="21" t="s">
        <v>3702</v>
      </c>
      <c r="B6" s="46">
        <v>92.6</v>
      </c>
      <c r="C6" s="46">
        <v>7.4</v>
      </c>
    </row>
    <row r="7" ht="15.75" customHeight="1">
      <c r="A7" s="21" t="s">
        <v>3705</v>
      </c>
      <c r="B7" s="46">
        <v>88.9</v>
      </c>
      <c r="C7" s="46">
        <v>11.1</v>
      </c>
    </row>
    <row r="8" ht="15.75" customHeight="1">
      <c r="A8" s="21" t="s">
        <v>3704</v>
      </c>
      <c r="B8" s="46">
        <v>88.8</v>
      </c>
      <c r="C8" s="46">
        <v>11.2</v>
      </c>
    </row>
    <row r="9" ht="15.75" customHeight="1">
      <c r="A9" s="21" t="s">
        <v>3703</v>
      </c>
      <c r="B9" s="46">
        <v>82.7</v>
      </c>
      <c r="C9" s="46">
        <v>17.2</v>
      </c>
    </row>
    <row r="10" ht="15.75" customHeight="1">
      <c r="A10" s="21" t="s">
        <v>3706</v>
      </c>
      <c r="B10" s="46">
        <v>73.5</v>
      </c>
      <c r="C10" s="46">
        <v>26.5</v>
      </c>
    </row>
    <row r="11" ht="15.75" customHeight="1">
      <c r="A11" s="21" t="s">
        <v>3710</v>
      </c>
      <c r="B11" s="46">
        <v>50.9</v>
      </c>
      <c r="C11" s="48">
        <v>8.0</v>
      </c>
    </row>
    <row r="12" ht="15.75" customHeight="1"/>
    <row r="13" ht="15.75" customHeight="1">
      <c r="A13" s="21" t="s">
        <v>3713</v>
      </c>
    </row>
    <row r="14" ht="15.75" customHeight="1">
      <c r="A14" s="21" t="s">
        <v>3714</v>
      </c>
    </row>
    <row r="15" ht="15.75" customHeight="1">
      <c r="A15" s="21" t="s">
        <v>3715</v>
      </c>
    </row>
    <row r="16" ht="15.75" customHeight="1">
      <c r="A16" s="27" t="s">
        <v>3716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C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35.25"/>
    <col customWidth="1" min="3" max="6" width="12.63"/>
  </cols>
  <sheetData>
    <row r="1" ht="68.25" customHeight="1">
      <c r="A1" s="25"/>
      <c r="B1" s="54" t="s">
        <v>3717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5"/>
      <c r="B2" s="24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3" t="s">
        <v>2775</v>
      </c>
      <c r="B3" s="1" t="s">
        <v>2776</v>
      </c>
      <c r="C3" s="24" t="s">
        <v>2777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5">
        <v>1.0</v>
      </c>
      <c r="B4" s="24" t="s">
        <v>3697</v>
      </c>
      <c r="C4" s="21" t="s">
        <v>3718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5">
        <v>2.0</v>
      </c>
      <c r="B5" s="24" t="s">
        <v>3698</v>
      </c>
      <c r="C5" s="21" t="s">
        <v>3719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5">
        <v>3.0</v>
      </c>
      <c r="B6" s="24" t="s">
        <v>3699</v>
      </c>
      <c r="C6" s="21" t="s">
        <v>3720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5">
        <v>4.0</v>
      </c>
      <c r="B7" s="24" t="s">
        <v>3700</v>
      </c>
      <c r="C7" s="21" t="s">
        <v>3721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5">
        <v>5.0</v>
      </c>
      <c r="B8" s="24" t="s">
        <v>13</v>
      </c>
      <c r="C8" s="21" t="s">
        <v>2791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5.38"/>
    <col customWidth="1" min="3" max="6" width="12.63"/>
  </cols>
  <sheetData>
    <row r="1" ht="15.75" customHeight="1">
      <c r="A1" s="55" t="s">
        <v>1</v>
      </c>
      <c r="B1" s="55" t="s">
        <v>3722</v>
      </c>
      <c r="C1" s="55" t="s">
        <v>13</v>
      </c>
      <c r="D1" s="55"/>
      <c r="E1" s="55"/>
      <c r="F1" s="55"/>
      <c r="G1" s="55"/>
      <c r="H1" s="55"/>
      <c r="I1" s="55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5.75" customHeight="1">
      <c r="A2" s="21" t="s">
        <v>2871</v>
      </c>
      <c r="B2" s="57">
        <v>1469.7</v>
      </c>
      <c r="C2" s="58">
        <v>2024.0</v>
      </c>
      <c r="D2" s="58"/>
      <c r="E2" s="58"/>
      <c r="F2" s="58"/>
      <c r="G2" s="58"/>
      <c r="H2" s="55"/>
      <c r="I2" s="5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1" t="s">
        <v>2862</v>
      </c>
      <c r="B3" s="57">
        <v>1347.0</v>
      </c>
      <c r="C3" s="58">
        <v>2024.0</v>
      </c>
      <c r="D3" s="58"/>
      <c r="E3" s="58"/>
      <c r="F3" s="58"/>
      <c r="G3" s="58"/>
      <c r="H3" s="55"/>
      <c r="I3" s="5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1" t="s">
        <v>2768</v>
      </c>
      <c r="B4" s="60">
        <v>974.9</v>
      </c>
      <c r="C4" s="58">
        <v>2024.0</v>
      </c>
      <c r="D4" s="61"/>
      <c r="E4" s="61"/>
      <c r="F4" s="61"/>
      <c r="G4" s="61"/>
      <c r="H4" s="55"/>
      <c r="I4" s="5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21" t="s">
        <v>2867</v>
      </c>
      <c r="B5" s="60">
        <v>739.8</v>
      </c>
      <c r="C5" s="58">
        <v>2024.0</v>
      </c>
      <c r="D5" s="62"/>
      <c r="E5" s="62"/>
      <c r="F5" s="63"/>
      <c r="G5" s="63"/>
      <c r="H5" s="58"/>
      <c r="I5" s="5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1" t="s">
        <v>2767</v>
      </c>
      <c r="B6" s="60">
        <v>757.6</v>
      </c>
      <c r="C6" s="58">
        <v>2024.0</v>
      </c>
      <c r="D6" s="62"/>
      <c r="E6" s="62"/>
      <c r="F6" s="63"/>
      <c r="G6" s="63"/>
      <c r="H6" s="58"/>
      <c r="I6" s="5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1" t="s">
        <v>2870</v>
      </c>
      <c r="B7" s="64">
        <v>1260.6</v>
      </c>
      <c r="C7" s="58">
        <v>2024.0</v>
      </c>
      <c r="D7" s="62"/>
      <c r="E7" s="62"/>
      <c r="F7" s="63"/>
      <c r="G7" s="63"/>
      <c r="H7" s="58"/>
      <c r="I7" s="5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1" t="s">
        <v>2859</v>
      </c>
      <c r="B8" s="60">
        <v>761.0</v>
      </c>
      <c r="C8" s="58">
        <v>2024.0</v>
      </c>
      <c r="D8" s="63"/>
      <c r="E8" s="63"/>
      <c r="F8" s="63"/>
      <c r="G8" s="63"/>
      <c r="H8" s="58"/>
      <c r="I8" s="5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1" t="s">
        <v>2865</v>
      </c>
      <c r="B9" s="64">
        <v>1042.5</v>
      </c>
      <c r="C9" s="58">
        <v>2024.0</v>
      </c>
      <c r="D9" s="63"/>
      <c r="E9" s="63"/>
      <c r="F9" s="63"/>
      <c r="G9" s="63"/>
      <c r="H9" s="58"/>
      <c r="I9" s="5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1" t="s">
        <v>2769</v>
      </c>
      <c r="B10" s="64">
        <v>1884.8</v>
      </c>
      <c r="C10" s="58">
        <v>2024.0</v>
      </c>
      <c r="D10" s="63"/>
      <c r="E10" s="63"/>
      <c r="F10" s="63"/>
      <c r="G10" s="63"/>
      <c r="H10" s="58"/>
      <c r="I10" s="5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1" t="s">
        <v>2868</v>
      </c>
      <c r="B11" s="64">
        <v>1792.8</v>
      </c>
      <c r="C11" s="58">
        <v>2024.0</v>
      </c>
      <c r="D11" s="62"/>
      <c r="E11" s="62"/>
      <c r="F11" s="63"/>
      <c r="G11" s="63"/>
      <c r="H11" s="58"/>
      <c r="I11" s="5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1" t="s">
        <v>2869</v>
      </c>
      <c r="B12" s="60">
        <v>694.8</v>
      </c>
      <c r="C12" s="58">
        <v>2024.0</v>
      </c>
      <c r="D12" s="63"/>
      <c r="E12" s="63"/>
      <c r="F12" s="63"/>
      <c r="G12" s="63"/>
      <c r="H12" s="58"/>
      <c r="I12" s="5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1" t="s">
        <v>2863</v>
      </c>
      <c r="B13" s="60">
        <v>706.5</v>
      </c>
      <c r="C13" s="58">
        <v>2024.0</v>
      </c>
      <c r="D13" s="63"/>
      <c r="E13" s="62"/>
      <c r="F13" s="63"/>
      <c r="G13" s="63"/>
      <c r="H13" s="58"/>
      <c r="I13" s="5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1" t="s">
        <v>2866</v>
      </c>
      <c r="B14" s="64">
        <v>1838.9</v>
      </c>
      <c r="C14" s="58">
        <v>2024.0</v>
      </c>
      <c r="D14" s="62"/>
      <c r="E14" s="62"/>
      <c r="F14" s="63"/>
      <c r="G14" s="63"/>
      <c r="H14" s="58"/>
      <c r="I14" s="5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1" t="s">
        <v>2858</v>
      </c>
      <c r="B15" s="64">
        <v>2189.0</v>
      </c>
      <c r="C15" s="58">
        <v>2024.0</v>
      </c>
      <c r="D15" s="62"/>
      <c r="E15" s="62"/>
      <c r="F15" s="63"/>
      <c r="G15" s="63"/>
      <c r="H15" s="58"/>
      <c r="I15" s="5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1" t="s">
        <v>2873</v>
      </c>
      <c r="B16" s="60">
        <v>495.4</v>
      </c>
      <c r="C16" s="58">
        <v>2024.0</v>
      </c>
      <c r="D16" s="63"/>
      <c r="E16" s="63"/>
      <c r="F16" s="63"/>
      <c r="G16" s="65"/>
      <c r="H16" s="58"/>
      <c r="I16" s="5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1" t="s">
        <v>2770</v>
      </c>
      <c r="B17" s="64">
        <v>1134.7</v>
      </c>
      <c r="C17" s="58">
        <v>2024.0</v>
      </c>
      <c r="D17" s="63"/>
      <c r="E17" s="63"/>
      <c r="F17" s="63"/>
      <c r="G17" s="63"/>
      <c r="H17" s="58"/>
      <c r="I17" s="5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1" t="s">
        <v>2860</v>
      </c>
      <c r="B18" s="64">
        <v>2005.7</v>
      </c>
      <c r="C18" s="58">
        <v>2024.0</v>
      </c>
      <c r="D18" s="62"/>
      <c r="E18" s="62"/>
      <c r="F18" s="63"/>
      <c r="G18" s="63"/>
      <c r="H18" s="58"/>
      <c r="I18" s="5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1" t="s">
        <v>16</v>
      </c>
      <c r="B19" s="64">
        <v>1102.0</v>
      </c>
      <c r="C19" s="58">
        <v>2024.0</v>
      </c>
      <c r="D19" s="62"/>
      <c r="E19" s="62"/>
      <c r="F19" s="63"/>
      <c r="G19" s="63"/>
      <c r="H19" s="58"/>
      <c r="I19" s="5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1" t="s">
        <v>2798</v>
      </c>
      <c r="B20" s="64">
        <v>1489.9</v>
      </c>
      <c r="C20" s="58">
        <v>2024.0</v>
      </c>
      <c r="D20" s="63"/>
      <c r="E20" s="63"/>
      <c r="F20" s="63"/>
      <c r="G20" s="63"/>
      <c r="H20" s="58"/>
      <c r="I20" s="5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1" t="s">
        <v>2594</v>
      </c>
      <c r="B21" s="60">
        <v>659.6</v>
      </c>
      <c r="C21" s="58">
        <v>2024.0</v>
      </c>
      <c r="D21" s="62"/>
      <c r="E21" s="62"/>
      <c r="F21" s="63"/>
      <c r="G21" s="63"/>
      <c r="H21" s="58"/>
      <c r="I21" s="5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8"/>
      <c r="B22" s="66"/>
      <c r="C22" s="66"/>
      <c r="D22" s="62"/>
      <c r="E22" s="62"/>
      <c r="F22" s="63"/>
      <c r="G22" s="63"/>
      <c r="H22" s="58"/>
      <c r="I22" s="59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8"/>
      <c r="B23" s="66"/>
      <c r="C23" s="66"/>
      <c r="D23" s="62"/>
      <c r="E23" s="62"/>
      <c r="F23" s="63"/>
      <c r="G23" s="63"/>
      <c r="H23" s="58"/>
      <c r="I23" s="5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8"/>
      <c r="B24" s="66"/>
      <c r="C24" s="66"/>
      <c r="D24" s="62"/>
      <c r="E24" s="62"/>
      <c r="F24" s="63"/>
      <c r="G24" s="65"/>
      <c r="H24" s="58"/>
      <c r="I24" s="5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8"/>
      <c r="B25" s="66"/>
      <c r="C25" s="66"/>
      <c r="D25" s="63"/>
      <c r="E25" s="63"/>
      <c r="F25" s="63"/>
      <c r="G25" s="63"/>
      <c r="H25" s="58"/>
      <c r="I25" s="5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38"/>
    <col customWidth="1" min="2" max="2" width="20.5"/>
    <col customWidth="1" min="3" max="3" width="12.63"/>
    <col customWidth="1" min="4" max="4" width="21.0"/>
    <col customWidth="1" min="5" max="5" width="21.38"/>
    <col customWidth="1" min="6" max="6" width="12.63"/>
  </cols>
  <sheetData>
    <row r="1" ht="15.75" customHeight="1">
      <c r="A1" s="67" t="s">
        <v>1</v>
      </c>
      <c r="B1" s="68" t="s">
        <v>3723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15.75" customHeight="1">
      <c r="A2" s="70" t="s">
        <v>2858</v>
      </c>
      <c r="B2" s="71">
        <v>2189.0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15.75" customHeight="1">
      <c r="A3" s="70" t="s">
        <v>2860</v>
      </c>
      <c r="B3" s="72">
        <v>2005.7</v>
      </c>
      <c r="C3" s="69"/>
      <c r="D3" s="73" t="s">
        <v>3724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15.75" customHeight="1">
      <c r="A4" s="70" t="s">
        <v>2769</v>
      </c>
      <c r="B4" s="74">
        <v>1884.8</v>
      </c>
      <c r="C4" s="69"/>
      <c r="D4" s="73" t="s">
        <v>3725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5.75" customHeight="1">
      <c r="A5" s="70" t="s">
        <v>2866</v>
      </c>
      <c r="B5" s="75">
        <v>1838.9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15.75" customHeight="1">
      <c r="A6" s="70" t="s">
        <v>2868</v>
      </c>
      <c r="B6" s="76">
        <v>1792.8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15.75" customHeight="1">
      <c r="A7" s="70" t="s">
        <v>2798</v>
      </c>
      <c r="B7" s="77">
        <v>1489.9</v>
      </c>
      <c r="C7" s="69"/>
      <c r="D7" s="67" t="s">
        <v>1</v>
      </c>
      <c r="E7" s="68" t="s">
        <v>3723</v>
      </c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15.75" customHeight="1">
      <c r="A8" s="70" t="s">
        <v>2871</v>
      </c>
      <c r="B8" s="78">
        <v>1469.7</v>
      </c>
      <c r="C8" s="69"/>
      <c r="D8" s="70" t="s">
        <v>2858</v>
      </c>
      <c r="E8" s="71">
        <v>2189.0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15.75" customHeight="1">
      <c r="A9" s="70" t="s">
        <v>2862</v>
      </c>
      <c r="B9" s="79">
        <v>1347.0</v>
      </c>
      <c r="C9" s="69"/>
      <c r="D9" s="70" t="s">
        <v>2860</v>
      </c>
      <c r="E9" s="72">
        <v>2005.7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15.75" customHeight="1">
      <c r="A10" s="70" t="s">
        <v>2870</v>
      </c>
      <c r="B10" s="80">
        <v>1260.6</v>
      </c>
      <c r="C10" s="69"/>
      <c r="D10" s="70" t="s">
        <v>2769</v>
      </c>
      <c r="E10" s="74">
        <v>1884.8</v>
      </c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15.75" customHeight="1">
      <c r="A11" s="70" t="s">
        <v>2770</v>
      </c>
      <c r="B11" s="81">
        <v>1134.7</v>
      </c>
      <c r="C11" s="69"/>
      <c r="D11" s="70" t="s">
        <v>2866</v>
      </c>
      <c r="E11" s="75">
        <v>1838.9</v>
      </c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15.75" customHeight="1">
      <c r="A12" s="70" t="s">
        <v>16</v>
      </c>
      <c r="B12" s="82">
        <v>1102.0</v>
      </c>
      <c r="C12" s="69"/>
      <c r="D12" s="70" t="s">
        <v>2868</v>
      </c>
      <c r="E12" s="76">
        <v>1792.8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15.75" customHeight="1">
      <c r="A13" s="70" t="s">
        <v>2865</v>
      </c>
      <c r="B13" s="83">
        <v>1042.5</v>
      </c>
      <c r="C13" s="69"/>
      <c r="D13" s="70" t="s">
        <v>2798</v>
      </c>
      <c r="E13" s="77">
        <v>1489.9</v>
      </c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15.75" customHeight="1">
      <c r="A14" s="70" t="s">
        <v>2768</v>
      </c>
      <c r="B14" s="84">
        <v>974.9</v>
      </c>
      <c r="C14" s="69"/>
      <c r="D14" s="70" t="s">
        <v>2871</v>
      </c>
      <c r="E14" s="78">
        <v>1469.7</v>
      </c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15.75" customHeight="1">
      <c r="A15" s="70" t="s">
        <v>2859</v>
      </c>
      <c r="B15" s="85">
        <v>761.0</v>
      </c>
      <c r="C15" s="69"/>
      <c r="D15" s="70" t="s">
        <v>2862</v>
      </c>
      <c r="E15" s="79">
        <v>1347.0</v>
      </c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15.75" customHeight="1">
      <c r="A16" s="70" t="s">
        <v>2767</v>
      </c>
      <c r="B16" s="86">
        <v>757.6</v>
      </c>
      <c r="C16" s="69"/>
      <c r="D16" s="70" t="s">
        <v>2870</v>
      </c>
      <c r="E16" s="80">
        <v>1260.6</v>
      </c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15.75" customHeight="1">
      <c r="A17" s="70" t="s">
        <v>2867</v>
      </c>
      <c r="B17" s="87">
        <v>739.8</v>
      </c>
      <c r="C17" s="69"/>
      <c r="D17" s="70" t="s">
        <v>2770</v>
      </c>
      <c r="E17" s="81">
        <v>1134.7</v>
      </c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15.75" customHeight="1">
      <c r="A18" s="70" t="s">
        <v>2863</v>
      </c>
      <c r="B18" s="88">
        <v>706.5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15.75" customHeight="1">
      <c r="A19" s="70" t="s">
        <v>2869</v>
      </c>
      <c r="B19" s="89">
        <v>694.8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15.75" customHeight="1">
      <c r="A20" s="70" t="s">
        <v>2594</v>
      </c>
      <c r="B20" s="90">
        <v>659.6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5.75" customHeight="1">
      <c r="A21" s="70" t="s">
        <v>2873</v>
      </c>
      <c r="B21" s="91">
        <v>495.4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5.7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5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5.7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conditionalFormatting sqref="B1:B1000 E7:E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38"/>
    <col customWidth="1" min="3" max="6" width="12.63"/>
  </cols>
  <sheetData>
    <row r="1" ht="15.75" customHeight="1">
      <c r="A1" s="92"/>
      <c r="B1" s="55" t="s">
        <v>3726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92"/>
      <c r="B2" s="55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3" t="s">
        <v>2775</v>
      </c>
      <c r="B3" s="1" t="s">
        <v>2776</v>
      </c>
      <c r="C3" s="24" t="s">
        <v>2777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92">
        <v>1.0</v>
      </c>
      <c r="B4" s="55" t="s">
        <v>1</v>
      </c>
      <c r="C4" s="21" t="s">
        <v>2779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92">
        <v>2.0</v>
      </c>
      <c r="B5" s="55" t="s">
        <v>3722</v>
      </c>
      <c r="C5" s="21" t="s">
        <v>3727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92">
        <v>3.0</v>
      </c>
      <c r="B6" s="55" t="s">
        <v>13</v>
      </c>
      <c r="C6" s="21" t="s">
        <v>2791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0.13"/>
    <col customWidth="1" min="3" max="6" width="12.63"/>
  </cols>
  <sheetData>
    <row r="1" ht="15.75" customHeight="1">
      <c r="A1" s="55" t="s">
        <v>1</v>
      </c>
      <c r="B1" s="55" t="s">
        <v>3728</v>
      </c>
      <c r="C1" s="55" t="s">
        <v>13</v>
      </c>
    </row>
    <row r="2" ht="15.75" customHeight="1">
      <c r="A2" s="21" t="s">
        <v>2871</v>
      </c>
      <c r="B2" s="43">
        <v>114.7</v>
      </c>
      <c r="C2" s="21">
        <v>2024.0</v>
      </c>
    </row>
    <row r="3" ht="15.75" customHeight="1">
      <c r="A3" s="21" t="s">
        <v>2862</v>
      </c>
      <c r="B3" s="43">
        <v>87.6</v>
      </c>
      <c r="C3" s="21">
        <v>2024.0</v>
      </c>
    </row>
    <row r="4" ht="15.75" customHeight="1">
      <c r="A4" s="21" t="s">
        <v>2768</v>
      </c>
      <c r="B4" s="43">
        <v>52.9</v>
      </c>
      <c r="C4" s="21">
        <v>2024.0</v>
      </c>
    </row>
    <row r="5" ht="15.75" customHeight="1">
      <c r="A5" s="21" t="s">
        <v>2867</v>
      </c>
      <c r="B5" s="43">
        <v>47.4</v>
      </c>
      <c r="C5" s="21">
        <v>2024.0</v>
      </c>
    </row>
    <row r="6" ht="15.75" customHeight="1">
      <c r="A6" s="21" t="s">
        <v>2767</v>
      </c>
      <c r="B6" s="43">
        <v>44.2</v>
      </c>
      <c r="C6" s="21">
        <v>2024.0</v>
      </c>
    </row>
    <row r="7" ht="15.75" customHeight="1">
      <c r="A7" s="21" t="s">
        <v>2870</v>
      </c>
      <c r="B7" s="43">
        <v>83.9</v>
      </c>
      <c r="C7" s="21">
        <v>2024.0</v>
      </c>
    </row>
    <row r="8" ht="15.75" customHeight="1">
      <c r="A8" s="21" t="s">
        <v>2859</v>
      </c>
      <c r="B8" s="43">
        <v>55.4</v>
      </c>
      <c r="C8" s="21">
        <v>2024.0</v>
      </c>
    </row>
    <row r="9" ht="15.75" customHeight="1">
      <c r="A9" s="21" t="s">
        <v>2865</v>
      </c>
      <c r="B9" s="43">
        <v>51.1</v>
      </c>
      <c r="C9" s="21">
        <v>2024.0</v>
      </c>
    </row>
    <row r="10" ht="15.75" customHeight="1">
      <c r="A10" s="21" t="s">
        <v>2769</v>
      </c>
      <c r="B10" s="43">
        <v>77.7</v>
      </c>
      <c r="C10" s="21">
        <v>2024.0</v>
      </c>
    </row>
    <row r="11" ht="15.75" customHeight="1">
      <c r="A11" s="21" t="s">
        <v>2868</v>
      </c>
      <c r="B11" s="43">
        <v>79.2</v>
      </c>
      <c r="C11" s="21">
        <v>2024.0</v>
      </c>
    </row>
    <row r="12" ht="15.75" customHeight="1">
      <c r="A12" s="21" t="s">
        <v>2869</v>
      </c>
      <c r="B12" s="43">
        <v>48.7</v>
      </c>
      <c r="C12" s="21">
        <v>2024.0</v>
      </c>
    </row>
    <row r="13" ht="15.75" customHeight="1">
      <c r="A13" s="21" t="s">
        <v>2863</v>
      </c>
      <c r="B13" s="43">
        <v>45.2</v>
      </c>
      <c r="C13" s="21">
        <v>2024.0</v>
      </c>
    </row>
    <row r="14" ht="15.75" customHeight="1">
      <c r="A14" s="21" t="s">
        <v>2866</v>
      </c>
      <c r="B14" s="43">
        <v>101.8</v>
      </c>
      <c r="C14" s="21">
        <v>2024.0</v>
      </c>
    </row>
    <row r="15" ht="15.75" customHeight="1">
      <c r="A15" s="21" t="s">
        <v>2858</v>
      </c>
      <c r="B15" s="43">
        <v>97.1</v>
      </c>
      <c r="C15" s="21">
        <v>2024.0</v>
      </c>
    </row>
    <row r="16" ht="15.75" customHeight="1">
      <c r="A16" s="21" t="s">
        <v>2873</v>
      </c>
      <c r="B16" s="43">
        <v>31.3</v>
      </c>
      <c r="C16" s="21">
        <v>2024.0</v>
      </c>
    </row>
    <row r="17" ht="15.75" customHeight="1">
      <c r="A17" s="21" t="s">
        <v>2770</v>
      </c>
      <c r="B17" s="43">
        <v>77.2</v>
      </c>
      <c r="C17" s="21">
        <v>2024.0</v>
      </c>
    </row>
    <row r="18" ht="15.75" customHeight="1">
      <c r="A18" s="21" t="s">
        <v>2860</v>
      </c>
      <c r="B18" s="43">
        <v>110.8</v>
      </c>
      <c r="C18" s="21">
        <v>2024.0</v>
      </c>
    </row>
    <row r="19" ht="15.75" customHeight="1">
      <c r="A19" s="21" t="s">
        <v>16</v>
      </c>
      <c r="B19" s="43">
        <v>66.9</v>
      </c>
      <c r="C19" s="21">
        <v>2024.0</v>
      </c>
    </row>
    <row r="20" ht="15.75" customHeight="1">
      <c r="A20" s="21" t="s">
        <v>2798</v>
      </c>
      <c r="B20" s="43">
        <v>60.0</v>
      </c>
      <c r="C20" s="21">
        <v>2024.0</v>
      </c>
    </row>
    <row r="21" ht="15.75" customHeight="1">
      <c r="A21" s="21" t="s">
        <v>2594</v>
      </c>
      <c r="B21" s="43">
        <v>47.4</v>
      </c>
      <c r="C21" s="21">
        <v>2024.0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6" width="12.63"/>
  </cols>
  <sheetData>
    <row r="1" ht="15.75" customHeight="1"/>
    <row r="2" ht="15.75" customHeight="1">
      <c r="D2" s="21" t="s">
        <v>3730</v>
      </c>
    </row>
    <row r="3" ht="15.75" customHeight="1">
      <c r="D3" s="21" t="s">
        <v>3731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">
    <cfRule type="colorScale" priority="1">
      <colorScale>
        <cfvo type="min"/>
        <cfvo type="max"/>
        <color rgb="FFFFFFFF"/>
        <color rgb="FFE67C73"/>
      </colorScale>
    </cfRule>
  </conditionalFormatting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5.0"/>
    <col customWidth="1" min="3" max="6" width="12.63"/>
  </cols>
  <sheetData>
    <row r="1" ht="15.75" customHeight="1">
      <c r="A1" s="1"/>
      <c r="B1" s="1" t="s">
        <v>3732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"/>
      <c r="B2" s="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3" t="s">
        <v>2775</v>
      </c>
      <c r="B3" s="1" t="s">
        <v>2776</v>
      </c>
      <c r="C3" s="24" t="s">
        <v>2777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3">
        <v>1.0</v>
      </c>
      <c r="B4" s="1" t="s">
        <v>1</v>
      </c>
      <c r="C4" s="11" t="s">
        <v>2779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23">
        <v>2.0</v>
      </c>
      <c r="B5" s="1" t="s">
        <v>3728</v>
      </c>
      <c r="C5" s="11" t="s">
        <v>3733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3">
        <v>3.0</v>
      </c>
      <c r="B6" s="1" t="s">
        <v>13</v>
      </c>
      <c r="C6" s="11" t="s">
        <v>2791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7.0"/>
    <col customWidth="1" min="3" max="3" width="19.13"/>
    <col customWidth="1" min="4" max="4" width="22.0"/>
    <col customWidth="1" min="5" max="6" width="12.63"/>
  </cols>
  <sheetData>
    <row r="1" ht="15.75" customHeight="1">
      <c r="A1" s="24" t="s">
        <v>1</v>
      </c>
      <c r="B1" s="24" t="s">
        <v>3734</v>
      </c>
      <c r="C1" s="24" t="s">
        <v>3735</v>
      </c>
      <c r="D1" s="24" t="s">
        <v>3736</v>
      </c>
      <c r="E1" s="24" t="s">
        <v>13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1" t="s">
        <v>2871</v>
      </c>
      <c r="B2" s="50">
        <v>14.0</v>
      </c>
      <c r="C2" s="51">
        <v>1.0</v>
      </c>
      <c r="D2" s="51">
        <v>2.2</v>
      </c>
      <c r="E2" s="11">
        <v>2024.0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1" t="s">
        <v>2862</v>
      </c>
      <c r="B3" s="50">
        <v>14.0</v>
      </c>
      <c r="C3" s="51">
        <v>0.4</v>
      </c>
      <c r="D3" s="51">
        <v>1.5</v>
      </c>
      <c r="E3" s="11">
        <v>2024.0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2768</v>
      </c>
      <c r="B4" s="50">
        <v>20.0</v>
      </c>
      <c r="C4" s="51">
        <v>0.7</v>
      </c>
      <c r="D4" s="51">
        <v>1.4</v>
      </c>
      <c r="E4" s="11">
        <v>2024.0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 t="s">
        <v>2867</v>
      </c>
      <c r="B5" s="50">
        <v>16.0</v>
      </c>
      <c r="C5" s="51">
        <v>0.3</v>
      </c>
      <c r="D5" s="51">
        <v>0.3</v>
      </c>
      <c r="E5" s="11">
        <v>2024.0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 t="s">
        <v>2767</v>
      </c>
      <c r="B6" s="50">
        <v>14.0</v>
      </c>
      <c r="C6" s="51">
        <v>0.4</v>
      </c>
      <c r="D6" s="51">
        <v>1.4</v>
      </c>
      <c r="E6" s="11">
        <v>2024.0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 t="s">
        <v>2870</v>
      </c>
      <c r="B7" s="50">
        <v>25.0</v>
      </c>
      <c r="C7" s="51">
        <v>0.4</v>
      </c>
      <c r="D7" s="51">
        <v>1.8</v>
      </c>
      <c r="E7" s="11">
        <v>2024.0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 t="s">
        <v>2859</v>
      </c>
      <c r="B8" s="50">
        <v>17.0</v>
      </c>
      <c r="C8" s="51">
        <v>0.4</v>
      </c>
      <c r="D8" s="51">
        <v>0.9</v>
      </c>
      <c r="E8" s="11">
        <v>2024.0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 t="s">
        <v>2865</v>
      </c>
      <c r="B9" s="50">
        <v>13.0</v>
      </c>
      <c r="C9" s="51">
        <v>0.4</v>
      </c>
      <c r="D9" s="51">
        <v>2.4</v>
      </c>
      <c r="E9" s="11">
        <v>2024.0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 t="s">
        <v>2769</v>
      </c>
      <c r="B10" s="50">
        <v>23.0</v>
      </c>
      <c r="C10" s="51">
        <v>0.8</v>
      </c>
      <c r="D10" s="51">
        <v>1.7</v>
      </c>
      <c r="E10" s="11">
        <v>2024.0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1" t="s">
        <v>2868</v>
      </c>
      <c r="B11" s="50">
        <v>24.0</v>
      </c>
      <c r="C11" s="51">
        <v>0.3</v>
      </c>
      <c r="D11" s="51">
        <v>2.2</v>
      </c>
      <c r="E11" s="11">
        <v>2024.0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 t="s">
        <v>2869</v>
      </c>
      <c r="B12" s="50">
        <v>20.0</v>
      </c>
      <c r="C12" s="51">
        <v>0.4</v>
      </c>
      <c r="D12" s="51">
        <v>1.3</v>
      </c>
      <c r="E12" s="11">
        <v>2024.0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 t="s">
        <v>2863</v>
      </c>
      <c r="B13" s="50">
        <v>10.0</v>
      </c>
      <c r="C13" s="51">
        <v>0.5</v>
      </c>
      <c r="D13" s="51">
        <v>0.9</v>
      </c>
      <c r="E13" s="11">
        <v>2024.0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 t="s">
        <v>2866</v>
      </c>
      <c r="B14" s="50">
        <v>15.0</v>
      </c>
      <c r="C14" s="51">
        <v>0.7</v>
      </c>
      <c r="D14" s="51">
        <v>1.9</v>
      </c>
      <c r="E14" s="11">
        <v>2024.0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 t="s">
        <v>2858</v>
      </c>
      <c r="B15" s="50">
        <v>18.0</v>
      </c>
      <c r="C15" s="51">
        <v>0.4</v>
      </c>
      <c r="D15" s="51">
        <v>2.3</v>
      </c>
      <c r="E15" s="11">
        <v>2024.0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 t="s">
        <v>2873</v>
      </c>
      <c r="B16" s="50">
        <v>35.0</v>
      </c>
      <c r="C16" s="51">
        <v>0.4</v>
      </c>
      <c r="D16" s="51">
        <v>0.5</v>
      </c>
      <c r="E16" s="11">
        <v>2024.0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 t="s">
        <v>2770</v>
      </c>
      <c r="B17" s="50">
        <v>5.0</v>
      </c>
      <c r="C17" s="51">
        <v>0.2</v>
      </c>
      <c r="D17" s="51">
        <v>1.4</v>
      </c>
      <c r="E17" s="11">
        <v>2024.0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 t="s">
        <v>2860</v>
      </c>
      <c r="B18" s="50">
        <v>15.0</v>
      </c>
      <c r="C18" s="51">
        <v>0.7</v>
      </c>
      <c r="D18" s="51">
        <v>1.2</v>
      </c>
      <c r="E18" s="11">
        <v>2024.0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 t="s">
        <v>16</v>
      </c>
      <c r="B19" s="50">
        <v>19.0</v>
      </c>
      <c r="C19" s="51">
        <v>1.1</v>
      </c>
      <c r="D19" s="51">
        <v>2.4</v>
      </c>
      <c r="E19" s="11">
        <v>2024.0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 t="s">
        <v>2798</v>
      </c>
      <c r="B20" s="50">
        <v>39.0</v>
      </c>
      <c r="C20" s="51">
        <v>1.2</v>
      </c>
      <c r="D20" s="51">
        <v>2.4</v>
      </c>
      <c r="E20" s="11">
        <v>2024.0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 t="s">
        <v>2594</v>
      </c>
      <c r="B21" s="50">
        <v>24.0</v>
      </c>
      <c r="C21" s="51">
        <v>0.5</v>
      </c>
      <c r="D21" s="51">
        <v>1.7</v>
      </c>
      <c r="E21" s="11">
        <v>2024.0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38"/>
    <col customWidth="1" min="2" max="2" width="19.0"/>
    <col customWidth="1" min="3" max="3" width="22.75"/>
    <col customWidth="1" min="4" max="4" width="25.13"/>
    <col customWidth="1" min="5" max="6" width="12.63"/>
  </cols>
  <sheetData>
    <row r="1" ht="15.75" customHeight="1"/>
    <row r="2" ht="15.75" customHeight="1"/>
    <row r="3" ht="15.75" customHeight="1">
      <c r="F3" s="21" t="s">
        <v>3740</v>
      </c>
    </row>
    <row r="4" ht="15.75" customHeight="1">
      <c r="F4" s="21" t="s">
        <v>3741</v>
      </c>
    </row>
    <row r="5" ht="15.75" customHeight="1">
      <c r="F5" s="21" t="s">
        <v>3742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C1:C1000">
    <cfRule type="colorScale" priority="2">
      <colorScale>
        <cfvo type="min"/>
        <cfvo type="max"/>
        <color rgb="FFFFFFFF"/>
        <color rgb="FF57BB8A"/>
      </colorScale>
    </cfRule>
  </conditionalFormatting>
  <conditionalFormatting sqref="D1:D1000">
    <cfRule type="colorScale" priority="3">
      <colorScale>
        <cfvo type="min"/>
        <cfvo type="max"/>
        <color rgb="FFFFFFFF"/>
        <color rgb="FF57BB8A"/>
      </colorScale>
    </cfRule>
  </conditionalFormatting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23.25"/>
    <col customWidth="1" min="3" max="6" width="12.63"/>
  </cols>
  <sheetData>
    <row r="1" ht="15.75" customHeight="1">
      <c r="A1" s="25"/>
      <c r="B1" s="24" t="s">
        <v>3743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25"/>
      <c r="B2" s="24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3" t="s">
        <v>2775</v>
      </c>
      <c r="B3" s="1" t="s">
        <v>2776</v>
      </c>
      <c r="C3" s="24" t="s">
        <v>2777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5">
        <v>1.0</v>
      </c>
      <c r="B4" s="24" t="s">
        <v>1</v>
      </c>
      <c r="C4" s="11" t="s">
        <v>2779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25">
        <v>2.0</v>
      </c>
      <c r="B5" s="24" t="s">
        <v>3734</v>
      </c>
      <c r="C5" s="11" t="s">
        <v>3744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5">
        <v>3.0</v>
      </c>
      <c r="B6" s="24" t="s">
        <v>3735</v>
      </c>
      <c r="C6" s="11" t="s">
        <v>3745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25">
        <v>4.0</v>
      </c>
      <c r="B7" s="24" t="s">
        <v>3736</v>
      </c>
      <c r="C7" s="11" t="s">
        <v>3746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5">
        <v>5.0</v>
      </c>
      <c r="B8" s="24" t="s">
        <v>13</v>
      </c>
      <c r="C8" s="11" t="s">
        <v>2791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9.63"/>
    <col customWidth="1" min="3" max="4" width="12.63"/>
    <col customWidth="1" min="5" max="5" width="21.0"/>
    <col customWidth="1" min="6" max="6" width="12.63"/>
  </cols>
  <sheetData>
    <row r="1" ht="15.75" customHeight="1">
      <c r="A1" s="26" t="s">
        <v>1</v>
      </c>
      <c r="B1" s="26" t="s">
        <v>3747</v>
      </c>
    </row>
    <row r="2" ht="15.75" customHeight="1">
      <c r="A2" s="21" t="s">
        <v>2871</v>
      </c>
      <c r="B2" s="21" t="s">
        <v>2838</v>
      </c>
    </row>
    <row r="3" ht="15.75" customHeight="1">
      <c r="A3" s="21" t="s">
        <v>2871</v>
      </c>
      <c r="B3" s="21" t="s">
        <v>2841</v>
      </c>
    </row>
    <row r="4" ht="15.75" customHeight="1">
      <c r="A4" s="21" t="s">
        <v>2871</v>
      </c>
      <c r="B4" s="21" t="s">
        <v>2852</v>
      </c>
    </row>
    <row r="5" ht="15.75" customHeight="1">
      <c r="A5" s="21" t="s">
        <v>2871</v>
      </c>
      <c r="B5" s="21" t="s">
        <v>2804</v>
      </c>
    </row>
    <row r="6" ht="15.75" customHeight="1">
      <c r="A6" s="21" t="s">
        <v>2862</v>
      </c>
      <c r="B6" s="21" t="s">
        <v>3112</v>
      </c>
    </row>
    <row r="7" ht="15.75" customHeight="1">
      <c r="A7" s="21" t="s">
        <v>2862</v>
      </c>
      <c r="B7" s="21" t="s">
        <v>3245</v>
      </c>
    </row>
    <row r="8" ht="15.75" customHeight="1">
      <c r="A8" s="21" t="s">
        <v>2862</v>
      </c>
      <c r="B8" s="21" t="s">
        <v>2856</v>
      </c>
    </row>
    <row r="9" ht="15.75" customHeight="1">
      <c r="A9" s="21" t="s">
        <v>2862</v>
      </c>
      <c r="B9" s="21" t="s">
        <v>3555</v>
      </c>
    </row>
    <row r="10" ht="15.75" customHeight="1">
      <c r="A10" s="21" t="s">
        <v>2862</v>
      </c>
      <c r="B10" s="21" t="s">
        <v>2815</v>
      </c>
    </row>
    <row r="11" ht="15.75" customHeight="1">
      <c r="A11" s="21" t="s">
        <v>2862</v>
      </c>
      <c r="B11" s="21" t="s">
        <v>2822</v>
      </c>
    </row>
    <row r="12" ht="15.75" customHeight="1">
      <c r="A12" s="21" t="s">
        <v>2862</v>
      </c>
      <c r="B12" s="21" t="s">
        <v>2819</v>
      </c>
    </row>
    <row r="13" ht="15.75" customHeight="1">
      <c r="A13" s="21" t="s">
        <v>2862</v>
      </c>
      <c r="B13" s="21" t="s">
        <v>2816</v>
      </c>
    </row>
    <row r="14" ht="15.75" customHeight="1">
      <c r="A14" s="21" t="s">
        <v>2862</v>
      </c>
      <c r="B14" s="21" t="s">
        <v>2820</v>
      </c>
    </row>
    <row r="15" ht="15.75" customHeight="1">
      <c r="A15" s="21" t="s">
        <v>2862</v>
      </c>
      <c r="B15" s="21" t="s">
        <v>3253</v>
      </c>
    </row>
    <row r="16" ht="15.75" customHeight="1">
      <c r="A16" s="21" t="s">
        <v>2862</v>
      </c>
      <c r="B16" s="21" t="s">
        <v>2797</v>
      </c>
    </row>
    <row r="17" ht="15.75" customHeight="1">
      <c r="A17" s="21" t="s">
        <v>2862</v>
      </c>
      <c r="B17" s="21" t="s">
        <v>2796</v>
      </c>
    </row>
    <row r="18" ht="15.75" customHeight="1">
      <c r="A18" s="21" t="s">
        <v>2768</v>
      </c>
      <c r="B18" s="21" t="s">
        <v>2840</v>
      </c>
    </row>
    <row r="19" ht="15.75" customHeight="1">
      <c r="A19" s="21" t="s">
        <v>2768</v>
      </c>
      <c r="B19" s="21" t="s">
        <v>2831</v>
      </c>
    </row>
    <row r="20" ht="15.75" customHeight="1">
      <c r="A20" s="21" t="s">
        <v>2768</v>
      </c>
      <c r="B20" s="21" t="s">
        <v>1247</v>
      </c>
    </row>
    <row r="21" ht="15.75" customHeight="1">
      <c r="A21" s="21" t="s">
        <v>2768</v>
      </c>
      <c r="B21" s="21" t="s">
        <v>2834</v>
      </c>
    </row>
    <row r="22" ht="15.75" customHeight="1">
      <c r="A22" s="21" t="s">
        <v>2768</v>
      </c>
      <c r="B22" s="21" t="s">
        <v>1284</v>
      </c>
    </row>
    <row r="23" ht="15.75" customHeight="1">
      <c r="A23" s="21" t="s">
        <v>2867</v>
      </c>
      <c r="B23" s="21" t="s">
        <v>2828</v>
      </c>
    </row>
    <row r="24" ht="15.75" customHeight="1">
      <c r="A24" s="21" t="s">
        <v>2767</v>
      </c>
      <c r="B24" s="21" t="s">
        <v>2818</v>
      </c>
    </row>
    <row r="25" ht="15.75" customHeight="1">
      <c r="A25" s="21" t="s">
        <v>2767</v>
      </c>
      <c r="B25" s="21" t="s">
        <v>2842</v>
      </c>
    </row>
    <row r="26" ht="15.75" customHeight="1">
      <c r="A26" s="21" t="s">
        <v>2767</v>
      </c>
      <c r="B26" s="21" t="s">
        <v>2845</v>
      </c>
    </row>
    <row r="27" ht="15.75" customHeight="1">
      <c r="A27" s="21" t="s">
        <v>2767</v>
      </c>
      <c r="B27" s="21" t="s">
        <v>2839</v>
      </c>
    </row>
    <row r="28" ht="15.75" customHeight="1">
      <c r="A28" s="21" t="s">
        <v>2767</v>
      </c>
      <c r="B28" s="21" t="s">
        <v>2835</v>
      </c>
    </row>
    <row r="29" ht="15.75" customHeight="1">
      <c r="A29" s="21" t="s">
        <v>2767</v>
      </c>
      <c r="B29" s="6" t="s">
        <v>37</v>
      </c>
    </row>
    <row r="30" ht="15.75" customHeight="1">
      <c r="A30" s="21" t="s">
        <v>2870</v>
      </c>
      <c r="B30" s="21" t="s">
        <v>2836</v>
      </c>
    </row>
    <row r="31" ht="15.75" customHeight="1">
      <c r="A31" s="21" t="s">
        <v>2870</v>
      </c>
      <c r="B31" s="21" t="s">
        <v>2843</v>
      </c>
    </row>
    <row r="32" ht="15.75" customHeight="1">
      <c r="A32" s="21" t="s">
        <v>2870</v>
      </c>
      <c r="B32" s="21" t="s">
        <v>2823</v>
      </c>
    </row>
    <row r="33" ht="15.75" customHeight="1">
      <c r="A33" s="21" t="s">
        <v>2859</v>
      </c>
      <c r="B33" s="21" t="s">
        <v>2801</v>
      </c>
    </row>
    <row r="34" ht="15.75" customHeight="1">
      <c r="A34" s="21" t="s">
        <v>2859</v>
      </c>
      <c r="B34" s="21" t="s">
        <v>2813</v>
      </c>
    </row>
    <row r="35" ht="15.75" customHeight="1">
      <c r="A35" s="21" t="s">
        <v>2859</v>
      </c>
      <c r="B35" s="21" t="s">
        <v>2849</v>
      </c>
    </row>
    <row r="36" ht="15.75" customHeight="1">
      <c r="A36" s="21" t="s">
        <v>2859</v>
      </c>
      <c r="B36" s="21" t="s">
        <v>2811</v>
      </c>
    </row>
    <row r="37" ht="15.75" customHeight="1">
      <c r="A37" s="21" t="s">
        <v>2859</v>
      </c>
      <c r="B37" s="21" t="s">
        <v>2809</v>
      </c>
    </row>
    <row r="38" ht="15.75" customHeight="1">
      <c r="A38" s="21" t="s">
        <v>2865</v>
      </c>
      <c r="B38" s="21" t="s">
        <v>2807</v>
      </c>
    </row>
    <row r="39" ht="15.75" customHeight="1">
      <c r="A39" s="21" t="s">
        <v>2865</v>
      </c>
      <c r="B39" s="21" t="s">
        <v>2832</v>
      </c>
    </row>
    <row r="40" ht="15.75" customHeight="1">
      <c r="A40" s="21" t="s">
        <v>2865</v>
      </c>
      <c r="B40" s="21" t="s">
        <v>3663</v>
      </c>
    </row>
    <row r="41" ht="15.75" customHeight="1">
      <c r="A41" s="21" t="s">
        <v>2865</v>
      </c>
      <c r="B41" s="21" t="s">
        <v>2832</v>
      </c>
    </row>
    <row r="42" ht="15.75" customHeight="1">
      <c r="A42" s="21" t="s">
        <v>2769</v>
      </c>
      <c r="B42" s="6" t="s">
        <v>1320</v>
      </c>
    </row>
    <row r="43" ht="15.75" customHeight="1">
      <c r="A43" s="21" t="s">
        <v>2769</v>
      </c>
      <c r="B43" s="21" t="s">
        <v>2851</v>
      </c>
    </row>
    <row r="44" ht="15.75" customHeight="1">
      <c r="A44" s="21" t="s">
        <v>2769</v>
      </c>
      <c r="B44" s="21" t="s">
        <v>2793</v>
      </c>
    </row>
    <row r="45" ht="15.75" customHeight="1">
      <c r="A45" s="21" t="s">
        <v>2769</v>
      </c>
      <c r="B45" s="21" t="s">
        <v>3198</v>
      </c>
    </row>
    <row r="46" ht="15.75" customHeight="1">
      <c r="A46" s="21" t="s">
        <v>2769</v>
      </c>
      <c r="B46" s="21" t="s">
        <v>2817</v>
      </c>
    </row>
    <row r="47" ht="15.75" customHeight="1">
      <c r="A47" s="21" t="s">
        <v>2769</v>
      </c>
      <c r="B47" s="21" t="s">
        <v>3206</v>
      </c>
    </row>
    <row r="48" ht="15.75" customHeight="1">
      <c r="A48" s="21" t="s">
        <v>2769</v>
      </c>
      <c r="B48" s="21" t="s">
        <v>3120</v>
      </c>
    </row>
    <row r="49" ht="15.75" customHeight="1">
      <c r="A49" s="21" t="s">
        <v>2769</v>
      </c>
      <c r="B49" s="21" t="s">
        <v>3232</v>
      </c>
    </row>
    <row r="50" ht="15.75" customHeight="1">
      <c r="A50" s="21" t="s">
        <v>2769</v>
      </c>
      <c r="B50" s="21" t="s">
        <v>3319</v>
      </c>
    </row>
    <row r="51" ht="15.75" customHeight="1">
      <c r="A51" s="21" t="s">
        <v>2769</v>
      </c>
      <c r="B51" s="21" t="s">
        <v>3363</v>
      </c>
    </row>
    <row r="52" ht="15.75" customHeight="1">
      <c r="A52" s="21" t="s">
        <v>2769</v>
      </c>
      <c r="B52" s="21" t="s">
        <v>3237</v>
      </c>
    </row>
    <row r="53" ht="15.75" customHeight="1">
      <c r="A53" s="21" t="s">
        <v>2868</v>
      </c>
      <c r="B53" s="21" t="s">
        <v>2800</v>
      </c>
    </row>
    <row r="54" ht="15.75" customHeight="1">
      <c r="A54" s="21" t="s">
        <v>2868</v>
      </c>
      <c r="B54" s="21" t="s">
        <v>2830</v>
      </c>
    </row>
    <row r="55" ht="15.75" customHeight="1">
      <c r="A55" s="21" t="s">
        <v>2868</v>
      </c>
      <c r="B55" s="21" t="s">
        <v>2844</v>
      </c>
    </row>
    <row r="56" ht="15.75" customHeight="1">
      <c r="A56" s="21" t="s">
        <v>2868</v>
      </c>
      <c r="B56" s="21" t="s">
        <v>2846</v>
      </c>
    </row>
    <row r="57" ht="15.75" customHeight="1">
      <c r="A57" s="21" t="s">
        <v>2868</v>
      </c>
      <c r="B57" s="21" t="s">
        <v>2936</v>
      </c>
    </row>
    <row r="58" ht="15.75" customHeight="1">
      <c r="A58" s="21" t="s">
        <v>2868</v>
      </c>
      <c r="B58" s="21" t="s">
        <v>2814</v>
      </c>
    </row>
    <row r="59" ht="15.75" customHeight="1">
      <c r="A59" s="21" t="s">
        <v>2868</v>
      </c>
      <c r="B59" s="21" t="s">
        <v>3029</v>
      </c>
    </row>
    <row r="60" ht="15.75" customHeight="1">
      <c r="A60" s="21" t="s">
        <v>2868</v>
      </c>
      <c r="B60" s="21" t="s">
        <v>3101</v>
      </c>
    </row>
    <row r="61" ht="15.75" customHeight="1">
      <c r="A61" s="21" t="s">
        <v>2868</v>
      </c>
      <c r="B61" s="21" t="s">
        <v>2944</v>
      </c>
    </row>
    <row r="62" ht="15.75" customHeight="1">
      <c r="A62" s="21" t="s">
        <v>2868</v>
      </c>
      <c r="B62" s="21" t="s">
        <v>3043</v>
      </c>
    </row>
    <row r="63" ht="15.75" customHeight="1">
      <c r="A63" s="21" t="s">
        <v>2868</v>
      </c>
      <c r="B63" s="21" t="s">
        <v>3087</v>
      </c>
    </row>
    <row r="64" ht="15.75" customHeight="1">
      <c r="A64" s="21" t="s">
        <v>2868</v>
      </c>
      <c r="B64" s="21" t="s">
        <v>2827</v>
      </c>
    </row>
    <row r="65" ht="15.75" customHeight="1">
      <c r="A65" s="21" t="s">
        <v>2869</v>
      </c>
      <c r="B65" s="21" t="s">
        <v>2824</v>
      </c>
    </row>
    <row r="66" ht="15.75" customHeight="1">
      <c r="A66" s="21" t="s">
        <v>2869</v>
      </c>
      <c r="B66" s="21" t="s">
        <v>2837</v>
      </c>
    </row>
    <row r="67" ht="15.75" customHeight="1">
      <c r="A67" s="21" t="s">
        <v>2869</v>
      </c>
      <c r="B67" s="21" t="s">
        <v>2848</v>
      </c>
    </row>
    <row r="68" ht="15.75" customHeight="1">
      <c r="A68" s="21" t="s">
        <v>2869</v>
      </c>
      <c r="B68" s="21" t="s">
        <v>2850</v>
      </c>
    </row>
    <row r="69" ht="15.75" customHeight="1">
      <c r="A69" s="21" t="s">
        <v>2869</v>
      </c>
      <c r="B69" s="21" t="s">
        <v>2805</v>
      </c>
    </row>
    <row r="70" ht="15.75" customHeight="1">
      <c r="A70" s="21" t="s">
        <v>2869</v>
      </c>
      <c r="B70" s="21" t="s">
        <v>3662</v>
      </c>
    </row>
    <row r="71" ht="15.75" customHeight="1">
      <c r="A71" s="21" t="s">
        <v>2869</v>
      </c>
      <c r="B71" s="21" t="s">
        <v>2825</v>
      </c>
    </row>
    <row r="72" ht="15.75" customHeight="1">
      <c r="A72" s="21" t="s">
        <v>2863</v>
      </c>
      <c r="B72" s="21" t="s">
        <v>2853</v>
      </c>
    </row>
    <row r="73" ht="15.75" customHeight="1">
      <c r="A73" s="21" t="s">
        <v>2863</v>
      </c>
      <c r="B73" s="21" t="s">
        <v>2808</v>
      </c>
    </row>
    <row r="74" ht="15.75" customHeight="1">
      <c r="A74" s="21" t="s">
        <v>2863</v>
      </c>
      <c r="B74" s="21" t="s">
        <v>2829</v>
      </c>
    </row>
    <row r="75" ht="15.75" customHeight="1">
      <c r="A75" s="21" t="s">
        <v>2863</v>
      </c>
      <c r="B75" s="21" t="s">
        <v>2802</v>
      </c>
    </row>
    <row r="76" ht="15.75" customHeight="1">
      <c r="A76" s="21" t="s">
        <v>2866</v>
      </c>
      <c r="B76" s="21" t="s">
        <v>2821</v>
      </c>
    </row>
    <row r="77" ht="15.75" customHeight="1">
      <c r="A77" s="21" t="s">
        <v>2866</v>
      </c>
      <c r="B77" s="21" t="s">
        <v>2806</v>
      </c>
    </row>
    <row r="78" ht="15.75" customHeight="1">
      <c r="A78" s="21" t="s">
        <v>2866</v>
      </c>
      <c r="B78" s="21" t="s">
        <v>2826</v>
      </c>
    </row>
    <row r="79" ht="15.75" customHeight="1">
      <c r="A79" s="21" t="s">
        <v>2858</v>
      </c>
      <c r="B79" s="21" t="s">
        <v>2803</v>
      </c>
    </row>
    <row r="80" ht="15.75" customHeight="1">
      <c r="A80" s="21" t="s">
        <v>2858</v>
      </c>
      <c r="B80" s="21" t="s">
        <v>3573</v>
      </c>
    </row>
    <row r="81" ht="15.75" customHeight="1">
      <c r="A81" s="21" t="s">
        <v>2858</v>
      </c>
      <c r="B81" s="21" t="s">
        <v>3568</v>
      </c>
    </row>
    <row r="82" ht="15.75" customHeight="1">
      <c r="A82" s="21" t="s">
        <v>2873</v>
      </c>
      <c r="B82" s="21" t="s">
        <v>2799</v>
      </c>
    </row>
    <row r="83" ht="15.75" customHeight="1">
      <c r="A83" s="21" t="s">
        <v>2873</v>
      </c>
      <c r="B83" s="21" t="s">
        <v>2854</v>
      </c>
    </row>
    <row r="84" ht="15.75" customHeight="1">
      <c r="A84" s="21" t="s">
        <v>2873</v>
      </c>
      <c r="B84" s="21" t="s">
        <v>2855</v>
      </c>
    </row>
    <row r="85" ht="15.75" customHeight="1">
      <c r="A85" s="21" t="s">
        <v>2770</v>
      </c>
      <c r="B85" s="21" t="s">
        <v>2588</v>
      </c>
    </row>
    <row r="86" ht="15.75" customHeight="1">
      <c r="A86" s="21" t="s">
        <v>2770</v>
      </c>
      <c r="B86" s="21" t="s">
        <v>2795</v>
      </c>
    </row>
    <row r="87" ht="15.75" customHeight="1">
      <c r="A87" s="21" t="s">
        <v>2860</v>
      </c>
      <c r="B87" s="21" t="s">
        <v>2794</v>
      </c>
    </row>
    <row r="88" ht="15.75" customHeight="1">
      <c r="A88" s="21" t="s">
        <v>2860</v>
      </c>
      <c r="B88" s="21" t="s">
        <v>2812</v>
      </c>
    </row>
    <row r="89" ht="15.75" customHeight="1">
      <c r="A89" s="21" t="s">
        <v>2860</v>
      </c>
      <c r="B89" s="21" t="s">
        <v>2833</v>
      </c>
    </row>
    <row r="90" ht="15.75" customHeight="1">
      <c r="A90" s="21" t="s">
        <v>2860</v>
      </c>
      <c r="B90" s="21" t="s">
        <v>2810</v>
      </c>
    </row>
    <row r="91" ht="15.75" customHeight="1">
      <c r="A91" s="21" t="s">
        <v>2860</v>
      </c>
      <c r="B91" s="21" t="s">
        <v>2847</v>
      </c>
    </row>
    <row r="92" ht="15.75" customHeight="1">
      <c r="A92" s="21" t="s">
        <v>2860</v>
      </c>
      <c r="B92" s="21" t="s">
        <v>3484</v>
      </c>
    </row>
    <row r="93" ht="15.75" customHeight="1">
      <c r="A93" s="21" t="s">
        <v>2860</v>
      </c>
      <c r="B93" s="21" t="s">
        <v>3492</v>
      </c>
    </row>
    <row r="94" ht="15.75" customHeight="1">
      <c r="A94" s="21" t="s">
        <v>16</v>
      </c>
      <c r="B94" s="21" t="s">
        <v>16</v>
      </c>
    </row>
    <row r="95" ht="15.75" customHeight="1">
      <c r="A95" s="21" t="s">
        <v>2798</v>
      </c>
      <c r="B95" s="21" t="s">
        <v>2798</v>
      </c>
    </row>
    <row r="96" ht="15.75" customHeight="1">
      <c r="A96" s="21" t="s">
        <v>2594</v>
      </c>
      <c r="B96" s="21" t="s">
        <v>2594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